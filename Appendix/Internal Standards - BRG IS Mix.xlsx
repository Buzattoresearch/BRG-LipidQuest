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adriana_zardinibuzat_ucalgary_ca/Documents/LipidQuest/MetaboScape LipidQuest/260216/Appendix/"/>
    </mc:Choice>
  </mc:AlternateContent>
  <xr:revisionPtr revIDLastSave="508" documentId="13_ncr:1_{AE7B26BA-0FA6-4AB5-929F-E87167A50AF8}" xr6:coauthVersionLast="47" xr6:coauthVersionMax="47" xr10:uidLastSave="{0AD7C965-5E0B-4DE9-81C1-61146B399527}"/>
  <bookViews>
    <workbookView xWindow="-120" yWindow="-120" windowWidth="29040" windowHeight="15840" activeTab="1" xr2:uid="{00000000-000D-0000-FFFF-FFFF00000000}"/>
  </bookViews>
  <sheets>
    <sheet name="mz for main ion" sheetId="2" r:id="rId1"/>
    <sheet name="All ions" sheetId="1" r:id="rId2"/>
  </sheets>
  <externalReferences>
    <externalReference r:id="rId3"/>
  </externalReferences>
  <definedNames>
    <definedName name="_xlnm._FilterDatabase" localSheetId="0" hidden="1">'mz for main ion'!$A$1:$J$15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8" i="1"/>
  <c r="R8" i="1"/>
  <c r="G26" i="1"/>
  <c r="I26" i="1"/>
  <c r="J26" i="1"/>
  <c r="K26" i="1"/>
  <c r="L26" i="1"/>
  <c r="M26" i="1"/>
  <c r="N26" i="1"/>
  <c r="O26" i="1"/>
  <c r="H8" i="1"/>
  <c r="I8" i="1"/>
  <c r="J8" i="1"/>
  <c r="K8" i="1"/>
  <c r="L8" i="1"/>
  <c r="M8" i="1"/>
  <c r="N8" i="1"/>
  <c r="O8" i="1"/>
  <c r="P8" i="1"/>
  <c r="M22" i="1"/>
  <c r="N22" i="1"/>
  <c r="O22" i="1"/>
  <c r="M23" i="1"/>
  <c r="N23" i="1"/>
  <c r="O23" i="1"/>
  <c r="M24" i="1"/>
  <c r="N24" i="1"/>
  <c r="O24" i="1"/>
  <c r="M25" i="1"/>
  <c r="N25" i="1"/>
  <c r="O25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O21" i="1"/>
  <c r="N21" i="1"/>
  <c r="M21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G22" i="1"/>
  <c r="G23" i="1"/>
  <c r="G24" i="1"/>
  <c r="G25" i="1"/>
  <c r="G27" i="1"/>
  <c r="G28" i="1"/>
  <c r="G29" i="1"/>
  <c r="G30" i="1"/>
  <c r="G31" i="1"/>
  <c r="G32" i="1"/>
  <c r="G33" i="1"/>
  <c r="G34" i="1"/>
  <c r="G21" i="1"/>
  <c r="R3" i="1"/>
  <c r="R4" i="1"/>
  <c r="R5" i="1"/>
  <c r="R6" i="1"/>
  <c r="R7" i="1"/>
  <c r="R9" i="1"/>
  <c r="R10" i="1"/>
  <c r="R11" i="1"/>
  <c r="R12" i="1"/>
  <c r="R13" i="1"/>
  <c r="R14" i="1"/>
  <c r="R15" i="1"/>
  <c r="R16" i="1"/>
  <c r="Q9" i="1"/>
  <c r="P4" i="1"/>
  <c r="P5" i="1"/>
  <c r="P6" i="1"/>
  <c r="P7" i="1"/>
  <c r="P9" i="1"/>
  <c r="P10" i="1"/>
  <c r="P11" i="1"/>
  <c r="P12" i="1"/>
  <c r="P13" i="1"/>
  <c r="P14" i="1"/>
  <c r="P15" i="1"/>
  <c r="P16" i="1"/>
  <c r="P3" i="1"/>
  <c r="O4" i="1"/>
  <c r="O5" i="1"/>
  <c r="O6" i="1"/>
  <c r="O7" i="1"/>
  <c r="O9" i="1"/>
  <c r="O10" i="1"/>
  <c r="O11" i="1"/>
  <c r="O12" i="1"/>
  <c r="O13" i="1"/>
  <c r="O14" i="1"/>
  <c r="O15" i="1"/>
  <c r="O16" i="1"/>
  <c r="O3" i="1"/>
  <c r="N4" i="1"/>
  <c r="N5" i="1"/>
  <c r="N6" i="1"/>
  <c r="N7" i="1"/>
  <c r="N9" i="1"/>
  <c r="N10" i="1"/>
  <c r="N11" i="1"/>
  <c r="N12" i="1"/>
  <c r="N13" i="1"/>
  <c r="N14" i="1"/>
  <c r="N15" i="1"/>
  <c r="N16" i="1"/>
  <c r="N3" i="1"/>
  <c r="M4" i="1"/>
  <c r="M5" i="1"/>
  <c r="M6" i="1"/>
  <c r="M7" i="1"/>
  <c r="M9" i="1"/>
  <c r="M10" i="1"/>
  <c r="M11" i="1"/>
  <c r="M12" i="1"/>
  <c r="M13" i="1"/>
  <c r="M14" i="1"/>
  <c r="M15" i="1"/>
  <c r="M16" i="1"/>
  <c r="M3" i="1"/>
  <c r="L3" i="1"/>
  <c r="K17" i="1"/>
  <c r="K12" i="1" s="1"/>
  <c r="H3" i="1"/>
  <c r="I3" i="1"/>
  <c r="J3" i="1"/>
  <c r="K3" i="1"/>
  <c r="H4" i="1"/>
  <c r="I4" i="1"/>
  <c r="J4" i="1"/>
  <c r="L4" i="1"/>
  <c r="H5" i="1"/>
  <c r="I5" i="1"/>
  <c r="J5" i="1"/>
  <c r="L5" i="1"/>
  <c r="H6" i="1"/>
  <c r="I6" i="1"/>
  <c r="J6" i="1"/>
  <c r="L6" i="1"/>
  <c r="H7" i="1"/>
  <c r="I7" i="1"/>
  <c r="J7" i="1"/>
  <c r="L7" i="1"/>
  <c r="H9" i="1"/>
  <c r="I9" i="1"/>
  <c r="J9" i="1"/>
  <c r="L9" i="1"/>
  <c r="H10" i="1"/>
  <c r="I10" i="1"/>
  <c r="J10" i="1"/>
  <c r="L10" i="1"/>
  <c r="H11" i="1"/>
  <c r="I11" i="1"/>
  <c r="J11" i="1"/>
  <c r="L11" i="1"/>
  <c r="H12" i="1"/>
  <c r="I12" i="1"/>
  <c r="J12" i="1"/>
  <c r="L12" i="1"/>
  <c r="H13" i="1"/>
  <c r="I13" i="1"/>
  <c r="J13" i="1"/>
  <c r="K13" i="1"/>
  <c r="L13" i="1"/>
  <c r="H14" i="1"/>
  <c r="I14" i="1"/>
  <c r="J14" i="1"/>
  <c r="L14" i="1"/>
  <c r="H15" i="1"/>
  <c r="I15" i="1"/>
  <c r="J15" i="1"/>
  <c r="L15" i="1"/>
  <c r="H16" i="1"/>
  <c r="I16" i="1"/>
  <c r="J16" i="1"/>
  <c r="L16" i="1"/>
  <c r="G4" i="1"/>
  <c r="G5" i="1"/>
  <c r="G6" i="1"/>
  <c r="G7" i="1"/>
  <c r="G9" i="1"/>
  <c r="G10" i="1"/>
  <c r="G11" i="1"/>
  <c r="G12" i="1"/>
  <c r="G13" i="1"/>
  <c r="G14" i="1"/>
  <c r="G15" i="1"/>
  <c r="G16" i="1"/>
  <c r="G3" i="1"/>
  <c r="F2" i="2"/>
  <c r="E3" i="2"/>
  <c r="F3" i="2" s="1"/>
  <c r="E2" i="2"/>
  <c r="E4" i="2"/>
  <c r="F4" i="2" s="1"/>
  <c r="E5" i="2"/>
  <c r="F5" i="2" s="1"/>
  <c r="E6" i="2"/>
  <c r="E7" i="2"/>
  <c r="E8" i="2"/>
  <c r="E9" i="2"/>
  <c r="E10" i="2"/>
  <c r="E11" i="2"/>
  <c r="E12" i="2"/>
  <c r="E13" i="2"/>
  <c r="E14" i="2"/>
  <c r="E15" i="2"/>
  <c r="K16" i="1" l="1"/>
  <c r="K11" i="1"/>
  <c r="K6" i="1"/>
  <c r="K7" i="1"/>
  <c r="K15" i="1"/>
  <c r="K10" i="1"/>
  <c r="K5" i="1"/>
  <c r="K14" i="1"/>
  <c r="K9" i="1"/>
  <c r="K4" i="1"/>
  <c r="Q6" i="1" l="1"/>
  <c r="F11" i="2" l="1"/>
  <c r="F6" i="2"/>
  <c r="F7" i="2"/>
  <c r="F8" i="2"/>
  <c r="F9" i="2"/>
  <c r="F10" i="2"/>
  <c r="F12" i="2"/>
  <c r="F13" i="2"/>
  <c r="F14" i="2"/>
  <c r="F15" i="2"/>
</calcChain>
</file>

<file path=xl/sharedStrings.xml><?xml version="1.0" encoding="utf-8"?>
<sst xmlns="http://schemas.openxmlformats.org/spreadsheetml/2006/main" count="225" uniqueCount="88">
  <si>
    <t>m/z</t>
  </si>
  <si>
    <t>Standard</t>
  </si>
  <si>
    <t>Formula</t>
  </si>
  <si>
    <t>Exact mass</t>
  </si>
  <si>
    <t>Expected retention time (±0.7 min)</t>
  </si>
  <si>
    <t>Most intense ion</t>
  </si>
  <si>
    <t>[M+H]+</t>
  </si>
  <si>
    <t>[M+NH4]+</t>
  </si>
  <si>
    <t>[M+Na]+</t>
  </si>
  <si>
    <t>[M-OH]+</t>
  </si>
  <si>
    <t>[M+K]+</t>
  </si>
  <si>
    <t>Other</t>
  </si>
  <si>
    <t>[M-H]-</t>
  </si>
  <si>
    <t>[M+HCOO]-</t>
  </si>
  <si>
    <t>[M-H3O]-</t>
  </si>
  <si>
    <t>[M+Cl]-</t>
  </si>
  <si>
    <t>[M-CH3]-</t>
  </si>
  <si>
    <t>[M+formate]-</t>
  </si>
  <si>
    <t>Not detected</t>
  </si>
  <si>
    <t>*green: most intense ion</t>
  </si>
  <si>
    <t>*red: other detected ions (but not the most intense one)</t>
  </si>
  <si>
    <t>Positive ionization</t>
  </si>
  <si>
    <t>Negative ionization</t>
  </si>
  <si>
    <t>[D7]LPC 18:1</t>
  </si>
  <si>
    <t>[D7]MG 18:1</t>
  </si>
  <si>
    <t>C26H45D7NO7P</t>
  </si>
  <si>
    <t>C21H33D7O4</t>
  </si>
  <si>
    <t>C39H68D7O10P</t>
  </si>
  <si>
    <t>C41H73D7NO8P</t>
  </si>
  <si>
    <t>[D7]PG 15:0_18:1</t>
  </si>
  <si>
    <t>[D7]PC 15:0_18:1</t>
  </si>
  <si>
    <t>[M+2Na-H]+</t>
  </si>
  <si>
    <t>[M+Na+COO-]-</t>
  </si>
  <si>
    <t>[2M+H]+</t>
  </si>
  <si>
    <t>[2M+NH4]+</t>
  </si>
  <si>
    <t>[2M-H]-</t>
  </si>
  <si>
    <t>[M-2H]2-</t>
  </si>
  <si>
    <t>[2M+HCOO]-</t>
  </si>
  <si>
    <t>[3M+NH4]+</t>
  </si>
  <si>
    <t>main ion Pos</t>
  </si>
  <si>
    <t>main ion Neg</t>
  </si>
  <si>
    <t>Concentration (stock, µg/mL)</t>
  </si>
  <si>
    <t>Concentration (stock, umol/L)</t>
  </si>
  <si>
    <t>Molar mass (g/mol)</t>
  </si>
  <si>
    <t>m/z Pos (main ion)</t>
  </si>
  <si>
    <t>m/z Neg (main ion)</t>
  </si>
  <si>
    <t>[D9]LPE 16:0</t>
  </si>
  <si>
    <t>C21H35D9NO7P</t>
  </si>
  <si>
    <t>[D3]FA 20:0</t>
  </si>
  <si>
    <t xml:space="preserve">[D6]ST 27:1;O </t>
  </si>
  <si>
    <t>[D9]Cer 18:0;O2/16:0</t>
  </si>
  <si>
    <t>[D9]SM 18:1;O2/16:0</t>
  </si>
  <si>
    <t>[D9]PE 16:0_16:0</t>
  </si>
  <si>
    <t>[D9]DG 16:0_16:0</t>
  </si>
  <si>
    <t>[D9]TG 16:0_16:0_16:0</t>
  </si>
  <si>
    <t>[D7]CE 16:0</t>
  </si>
  <si>
    <t>C20H37D3O2</t>
  </si>
  <si>
    <t>C27H40D6O</t>
  </si>
  <si>
    <t>C34H60D9NO3</t>
  </si>
  <si>
    <t>C39H70D9N2O6P</t>
  </si>
  <si>
    <t>C37H65D9NO8P</t>
  </si>
  <si>
    <t>C35H59D9O5</t>
  </si>
  <si>
    <t>C51H89D9O6</t>
  </si>
  <si>
    <t>C43H69D7O2</t>
  </si>
  <si>
    <t>[D5]CL 18:2/18:2/18:2/18:2</t>
  </si>
  <si>
    <t>CCS</t>
  </si>
  <si>
    <t>[2M+Na]+</t>
  </si>
  <si>
    <r>
      <t>[M+2H]</t>
    </r>
    <r>
      <rPr>
        <b/>
        <vertAlign val="superscript"/>
        <sz val="11"/>
        <color rgb="FF000000"/>
        <rFont val="Calibri"/>
        <family val="2"/>
      </rPr>
      <t>2+</t>
    </r>
  </si>
  <si>
    <t>*2 peaks</t>
  </si>
  <si>
    <t>2.4-2.9</t>
  </si>
  <si>
    <t>2.5-3.0</t>
  </si>
  <si>
    <t>3.6-3.8</t>
  </si>
  <si>
    <t>5.7-5.9</t>
  </si>
  <si>
    <t>6.5-6.9</t>
  </si>
  <si>
    <t>12.4-12.6</t>
  </si>
  <si>
    <t>*2 peaks, remove ammonium</t>
  </si>
  <si>
    <t>*CL original formula is a double ammonium ion: C81H135D5O17P2(NH4)(NH4). Ammonium is exchanged by hydrogen in solution, so C81H135D5O17P2H2</t>
  </si>
  <si>
    <t xml:space="preserve"> C81H135D5O17P2H2</t>
  </si>
  <si>
    <t>9.0-9.5</t>
  </si>
  <si>
    <t>9.1-9.5</t>
  </si>
  <si>
    <t>7.2-7.6</t>
  </si>
  <si>
    <t>6.9-7.5</t>
  </si>
  <si>
    <t>7.9-8.8</t>
  </si>
  <si>
    <t>8.8-9.2</t>
  </si>
  <si>
    <t>11.5-11.8</t>
  </si>
  <si>
    <t>13.9-14.6</t>
  </si>
  <si>
    <t>14.4-14.7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</si>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</sst>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0000000000000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vertAlign val="superscript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166" fontId="2" fillId="3" borderId="8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166" fontId="1" fillId="2" borderId="14" xfId="0" applyNumberFormat="1" applyFont="1" applyFill="1" applyBorder="1" applyAlignment="1">
      <alignment horizontal="center" vertical="center" wrapText="1"/>
    </xf>
    <xf numFmtId="166" fontId="2" fillId="3" borderId="15" xfId="0" applyNumberFormat="1" applyFont="1" applyFill="1" applyBorder="1" applyAlignment="1">
      <alignment horizontal="center" vertical="center"/>
    </xf>
    <xf numFmtId="166" fontId="2" fillId="4" borderId="15" xfId="0" applyNumberFormat="1" applyFont="1" applyFill="1" applyBorder="1" applyAlignment="1">
      <alignment horizontal="center" vertical="center"/>
    </xf>
    <xf numFmtId="166" fontId="2" fillId="3" borderId="11" xfId="0" applyNumberFormat="1" applyFont="1" applyFill="1" applyBorder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/>
    </xf>
    <xf numFmtId="166" fontId="2" fillId="3" borderId="16" xfId="0" applyNumberFormat="1" applyFont="1" applyFill="1" applyBorder="1" applyAlignment="1">
      <alignment horizontal="center" vertical="center"/>
    </xf>
    <xf numFmtId="166" fontId="4" fillId="3" borderId="10" xfId="0" applyNumberFormat="1" applyFont="1" applyFill="1" applyBorder="1" applyAlignment="1">
      <alignment horizontal="center" vertical="center"/>
    </xf>
    <xf numFmtId="166" fontId="3" fillId="3" borderId="1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3" borderId="21" xfId="0" applyFont="1" applyFill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166" fontId="2" fillId="4" borderId="20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165" fontId="2" fillId="3" borderId="21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4" borderId="20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  <xf numFmtId="166" fontId="0" fillId="0" borderId="0" xfId="0" applyNumberFormat="1"/>
    <xf numFmtId="164" fontId="0" fillId="0" borderId="0" xfId="0" applyNumberFormat="1"/>
    <xf numFmtId="0" fontId="1" fillId="2" borderId="17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6" fontId="7" fillId="3" borderId="15" xfId="0" applyNumberFormat="1" applyFont="1" applyFill="1" applyBorder="1" applyAlignment="1">
      <alignment horizontal="center" vertical="center"/>
    </xf>
    <xf numFmtId="166" fontId="7" fillId="4" borderId="15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Border="1" applyAlignment="1">
      <alignment horizontal="center" vertical="center"/>
    </xf>
    <xf numFmtId="166" fontId="2" fillId="3" borderId="0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166" fontId="3" fillId="4" borderId="0" xfId="0" applyNumberFormat="1" applyFont="1" applyFill="1" applyBorder="1" applyAlignment="1">
      <alignment horizontal="center" vertical="center"/>
    </xf>
    <xf numFmtId="166" fontId="2" fillId="4" borderId="0" xfId="0" applyNumberFormat="1" applyFont="1" applyFill="1" applyBorder="1" applyAlignment="1">
      <alignment horizontal="center" vertical="center"/>
    </xf>
    <xf numFmtId="166" fontId="4" fillId="4" borderId="0" xfId="0" applyNumberFormat="1" applyFont="1" applyFill="1" applyBorder="1" applyAlignment="1">
      <alignment horizontal="center" vertical="center"/>
    </xf>
    <xf numFmtId="166" fontId="7" fillId="4" borderId="0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4" fontId="2" fillId="3" borderId="21" xfId="0" applyNumberFormat="1" applyFont="1" applyFill="1" applyBorder="1" applyAlignment="1">
      <alignment horizontal="center" vertical="center"/>
    </xf>
    <xf numFmtId="164" fontId="2" fillId="4" borderId="20" xfId="0" applyNumberFormat="1" applyFont="1" applyFill="1" applyBorder="1" applyAlignment="1">
      <alignment horizontal="center" vertical="center"/>
    </xf>
    <xf numFmtId="0" fontId="0" fillId="0" borderId="22" xfId="0" applyBorder="1"/>
    <xf numFmtId="165" fontId="2" fillId="3" borderId="10" xfId="0" applyNumberFormat="1" applyFont="1" applyFill="1" applyBorder="1" applyAlignment="1">
      <alignment horizontal="center" vertical="center"/>
    </xf>
    <xf numFmtId="0" fontId="0" fillId="0" borderId="0" xfId="0" applyBorder="1"/>
    <xf numFmtId="167" fontId="0" fillId="0" borderId="0" xfId="0" applyNumberFormat="1" applyBorder="1"/>
    <xf numFmtId="0" fontId="0" fillId="0" borderId="0" xfId="0" applyFill="1"/>
    <xf numFmtId="166" fontId="2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fc-my.sharepoint.com/personal/adriana_zardinibuzat_ucalgary_ca/Documents/BRG%20-%20Shared/Trainees/Postdocs/Fernanda%20Sousa%20Monteiro%2025-27/BRG%20Internal%20Standard%20Mix/Internal%20Standard%20Mix%20Plan.xlsx" TargetMode="External"/><Relationship Id="rId1" Type="http://schemas.openxmlformats.org/officeDocument/2006/relationships/externalLinkPath" Target="/personal/adriana_zardinibuzat_ucalgary_ca/Documents/BRG%20-%20Shared/Trainees/Postdocs/Fernanda%20Sousa%20Monteiro%2025-27/BRG%20Internal%20Standard%20Mix/Internal%20Standard%20Mix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mm Column RTs"/>
      <sheetName val="Proposed Deuterated IS"/>
      <sheetName val="Proposed concentrations"/>
      <sheetName val="Standard Solutions"/>
      <sheetName val="Standard Mix Plan"/>
      <sheetName val="Solution Volumes"/>
      <sheetName val="Used volumes - Feb 04"/>
    </sheetNames>
    <sheetDataSet>
      <sheetData sheetId="0"/>
      <sheetData sheetId="1"/>
      <sheetData sheetId="2"/>
      <sheetData sheetId="3"/>
      <sheetData sheetId="4">
        <row r="2">
          <cell r="A2" t="str">
            <v>[D7]CE 16:0</v>
          </cell>
          <cell r="B2" t="str">
            <v>CE</v>
          </cell>
          <cell r="C2" t="str">
            <v>1:0 DCM/MeOH</v>
          </cell>
          <cell r="D2">
            <v>1</v>
          </cell>
          <cell r="E2">
            <v>3.5</v>
          </cell>
          <cell r="F2">
            <v>0.2857142857142857</v>
          </cell>
          <cell r="G2">
            <v>600</v>
          </cell>
          <cell r="H2">
            <v>8.5714285714285712</v>
          </cell>
          <cell r="I2">
            <v>102.85714285714286</v>
          </cell>
          <cell r="J2">
            <v>2.7777777777777777</v>
          </cell>
          <cell r="K2">
            <v>226.8</v>
          </cell>
          <cell r="L2">
            <v>453.6</v>
          </cell>
          <cell r="M2">
            <v>1000</v>
          </cell>
          <cell r="N2">
            <v>500</v>
          </cell>
        </row>
        <row r="3">
          <cell r="A3" t="str">
            <v>[D9]Cer 18:0;O2/16:0</v>
          </cell>
          <cell r="B3" t="str">
            <v>Cer</v>
          </cell>
          <cell r="C3" t="str">
            <v>3:1 DCM/MeOH</v>
          </cell>
          <cell r="D3">
            <v>1</v>
          </cell>
          <cell r="E3">
            <v>0.8</v>
          </cell>
          <cell r="F3">
            <v>1.25</v>
          </cell>
          <cell r="G3">
            <v>25</v>
          </cell>
          <cell r="H3">
            <v>1.5625</v>
          </cell>
          <cell r="I3">
            <v>18.75</v>
          </cell>
          <cell r="J3">
            <v>66.666666666666671</v>
          </cell>
          <cell r="K3">
            <v>22.1</v>
          </cell>
          <cell r="L3">
            <v>22.1</v>
          </cell>
          <cell r="M3">
            <v>22.1</v>
          </cell>
          <cell r="N3">
            <v>25</v>
          </cell>
        </row>
        <row r="4">
          <cell r="A4" t="str">
            <v>[D5]CL 18:2/18:2/18:2/18:2</v>
          </cell>
          <cell r="B4" t="str">
            <v>CL</v>
          </cell>
          <cell r="C4" t="str">
            <v>9:1 DCM/MeOH</v>
          </cell>
          <cell r="D4">
            <v>1</v>
          </cell>
          <cell r="E4">
            <v>3.9</v>
          </cell>
          <cell r="F4">
            <v>0.25641025641025644</v>
          </cell>
          <cell r="G4">
            <v>200</v>
          </cell>
          <cell r="H4">
            <v>2.5641025641025643</v>
          </cell>
          <cell r="I4">
            <v>30.76923076923077</v>
          </cell>
          <cell r="J4">
            <v>8.3333333333333357</v>
          </cell>
          <cell r="K4">
            <v>98</v>
          </cell>
          <cell r="L4">
            <v>98</v>
          </cell>
          <cell r="M4">
            <v>200</v>
          </cell>
          <cell r="N4">
            <v>200</v>
          </cell>
        </row>
        <row r="5">
          <cell r="A5" t="str">
            <v>[D9]DG 16:0_16:0</v>
          </cell>
          <cell r="B5" t="str">
            <v>DG</v>
          </cell>
          <cell r="C5" t="str">
            <v>1:0 DCM/MeOH</v>
          </cell>
          <cell r="D5">
            <v>1</v>
          </cell>
          <cell r="E5">
            <v>0.7</v>
          </cell>
          <cell r="F5">
            <v>1.4285714285714286</v>
          </cell>
          <cell r="G5">
            <v>25</v>
          </cell>
          <cell r="H5">
            <v>1.7857142857142858</v>
          </cell>
          <cell r="I5">
            <v>21.428571428571431</v>
          </cell>
          <cell r="J5">
            <v>66.666666666666671</v>
          </cell>
          <cell r="K5">
            <v>10.5</v>
          </cell>
          <cell r="L5">
            <v>10.5</v>
          </cell>
          <cell r="M5">
            <v>20</v>
          </cell>
          <cell r="N5">
            <v>25</v>
          </cell>
        </row>
        <row r="6">
          <cell r="A6" t="str">
            <v>[D3]FA 20:0</v>
          </cell>
          <cell r="B6" t="str">
            <v>FA</v>
          </cell>
          <cell r="C6" t="str">
            <v>3:1 DCM/MeOH</v>
          </cell>
          <cell r="D6">
            <v>5</v>
          </cell>
          <cell r="E6">
            <v>3.8</v>
          </cell>
          <cell r="F6">
            <v>1.3157894736842106</v>
          </cell>
          <cell r="G6">
            <v>90</v>
          </cell>
          <cell r="H6">
            <v>1.1842105263157896</v>
          </cell>
          <cell r="I6">
            <v>14.210526315789474</v>
          </cell>
          <cell r="J6">
            <v>92.592592592592595</v>
          </cell>
          <cell r="K6">
            <v>250</v>
          </cell>
          <cell r="L6">
            <v>125</v>
          </cell>
          <cell r="M6">
            <v>90</v>
          </cell>
          <cell r="N6">
            <v>90</v>
          </cell>
        </row>
        <row r="7">
          <cell r="A7" t="str">
            <v>[D7]LPC 18:1</v>
          </cell>
          <cell r="B7" t="str">
            <v>LPC</v>
          </cell>
          <cell r="C7" t="str">
            <v>1:1  DCM/MeOH</v>
          </cell>
          <cell r="D7">
            <v>1</v>
          </cell>
          <cell r="E7">
            <v>0.5</v>
          </cell>
          <cell r="F7">
            <v>2</v>
          </cell>
          <cell r="G7">
            <v>15</v>
          </cell>
          <cell r="H7">
            <v>1.5</v>
          </cell>
          <cell r="I7">
            <v>18</v>
          </cell>
          <cell r="J7">
            <v>111.11111111111111</v>
          </cell>
          <cell r="K7">
            <v>10.5</v>
          </cell>
          <cell r="L7">
            <v>10.5</v>
          </cell>
          <cell r="M7">
            <v>10.5</v>
          </cell>
          <cell r="N7">
            <v>15</v>
          </cell>
        </row>
        <row r="8">
          <cell r="A8" t="str">
            <v>[D9]LPE 16:0</v>
          </cell>
          <cell r="B8" t="str">
            <v>LPE</v>
          </cell>
          <cell r="C8" t="str">
            <v>1:1  DCM/MeOH</v>
          </cell>
          <cell r="D8">
            <v>1</v>
          </cell>
          <cell r="E8">
            <v>1.5</v>
          </cell>
          <cell r="F8">
            <v>0.66666666666666663</v>
          </cell>
          <cell r="G8">
            <v>40</v>
          </cell>
          <cell r="H8">
            <v>1.3333333333333333</v>
          </cell>
          <cell r="I8">
            <v>16</v>
          </cell>
          <cell r="J8">
            <v>41.666666666666664</v>
          </cell>
          <cell r="K8">
            <v>37.799999999999997</v>
          </cell>
          <cell r="L8">
            <v>37.799999999999997</v>
          </cell>
          <cell r="M8">
            <v>37.799999999999997</v>
          </cell>
          <cell r="N8">
            <v>40</v>
          </cell>
        </row>
        <row r="9">
          <cell r="A9" t="str">
            <v>[D7]MG 18:1</v>
          </cell>
          <cell r="B9" t="str">
            <v>MG</v>
          </cell>
          <cell r="C9" t="str">
            <v>3:1 DCM/MeOH</v>
          </cell>
          <cell r="D9">
            <v>1</v>
          </cell>
          <cell r="E9">
            <v>1.5</v>
          </cell>
          <cell r="F9">
            <v>0.66666666666666663</v>
          </cell>
          <cell r="G9">
            <v>80</v>
          </cell>
          <cell r="H9">
            <v>2.6666666666666665</v>
          </cell>
          <cell r="I9">
            <v>32</v>
          </cell>
          <cell r="J9">
            <v>20.833333333333332</v>
          </cell>
          <cell r="K9">
            <v>42</v>
          </cell>
          <cell r="L9">
            <v>63</v>
          </cell>
          <cell r="M9">
            <v>63</v>
          </cell>
          <cell r="N9">
            <v>80</v>
          </cell>
        </row>
        <row r="10">
          <cell r="A10" t="str">
            <v>[D7]PC 15:0_18:1</v>
          </cell>
          <cell r="B10" t="str">
            <v>PC</v>
          </cell>
          <cell r="C10" t="str">
            <v>3:1 DCM/MeOH</v>
          </cell>
          <cell r="D10">
            <v>1</v>
          </cell>
          <cell r="E10">
            <v>0.7</v>
          </cell>
          <cell r="F10">
            <v>1.4285714285714286</v>
          </cell>
          <cell r="G10">
            <v>25</v>
          </cell>
          <cell r="H10">
            <v>1.7857142857142858</v>
          </cell>
          <cell r="I10">
            <v>21.428571428571431</v>
          </cell>
          <cell r="J10">
            <v>66.666666666666671</v>
          </cell>
          <cell r="K10">
            <v>18.899999999999999</v>
          </cell>
          <cell r="L10">
            <v>18.899999999999999</v>
          </cell>
          <cell r="M10">
            <v>18.899999999999999</v>
          </cell>
          <cell r="N10">
            <v>25</v>
          </cell>
        </row>
        <row r="11">
          <cell r="A11" t="str">
            <v>[D9]PE 16:0_16:0</v>
          </cell>
          <cell r="B11" t="str">
            <v>PE</v>
          </cell>
          <cell r="C11" t="str">
            <v>3:1 DCM/MeOH</v>
          </cell>
          <cell r="D11">
            <v>1</v>
          </cell>
          <cell r="E11">
            <v>2</v>
          </cell>
          <cell r="F11">
            <v>0.5</v>
          </cell>
          <cell r="G11">
            <v>70</v>
          </cell>
          <cell r="H11">
            <v>1.7500000000000002</v>
          </cell>
          <cell r="I11">
            <v>21.000000000000004</v>
          </cell>
          <cell r="J11">
            <v>23.809523809523807</v>
          </cell>
          <cell r="K11">
            <v>59.5</v>
          </cell>
          <cell r="L11">
            <v>59.5</v>
          </cell>
          <cell r="M11">
            <v>59.5</v>
          </cell>
          <cell r="N11">
            <v>70</v>
          </cell>
        </row>
        <row r="12">
          <cell r="A12" t="str">
            <v>[D7]PG 15:0_18:1</v>
          </cell>
          <cell r="B12" t="str">
            <v>PG</v>
          </cell>
          <cell r="C12" t="str">
            <v>3:1 DCM/MeOH</v>
          </cell>
          <cell r="D12">
            <v>1</v>
          </cell>
          <cell r="E12">
            <v>3.9</v>
          </cell>
          <cell r="F12">
            <v>0.25641025641025644</v>
          </cell>
          <cell r="G12">
            <v>50</v>
          </cell>
          <cell r="H12">
            <v>0.64102564102564108</v>
          </cell>
          <cell r="I12">
            <v>7.6923076923076925</v>
          </cell>
          <cell r="J12">
            <v>33.333333333333343</v>
          </cell>
          <cell r="K12">
            <v>98</v>
          </cell>
          <cell r="L12">
            <v>98</v>
          </cell>
          <cell r="M12">
            <v>70</v>
          </cell>
          <cell r="N12">
            <v>50</v>
          </cell>
        </row>
        <row r="13">
          <cell r="A13" t="str">
            <v>[D9]SM 18:1;O2/16:0</v>
          </cell>
          <cell r="B13" t="str">
            <v>SM</v>
          </cell>
          <cell r="C13" t="str">
            <v>3:1 DCM/MeOH</v>
          </cell>
          <cell r="D13">
            <v>1</v>
          </cell>
          <cell r="E13">
            <v>0.8</v>
          </cell>
          <cell r="F13">
            <v>1.25</v>
          </cell>
          <cell r="G13">
            <v>20</v>
          </cell>
          <cell r="H13">
            <v>1.25</v>
          </cell>
          <cell r="I13">
            <v>15</v>
          </cell>
          <cell r="J13">
            <v>83.333333333333329</v>
          </cell>
          <cell r="K13">
            <v>22.1</v>
          </cell>
          <cell r="L13">
            <v>16.575000000000003</v>
          </cell>
          <cell r="M13">
            <v>16.575000000000003</v>
          </cell>
          <cell r="N13">
            <v>20</v>
          </cell>
        </row>
        <row r="14">
          <cell r="A14" t="str">
            <v xml:space="preserve">[D6]ST 27:1;O </v>
          </cell>
          <cell r="B14" t="str">
            <v>ST</v>
          </cell>
          <cell r="C14" t="str">
            <v>9:1 DCM/MeOH</v>
          </cell>
          <cell r="D14">
            <v>11</v>
          </cell>
          <cell r="E14">
            <v>15</v>
          </cell>
          <cell r="F14">
            <v>0.73333333333333328</v>
          </cell>
          <cell r="G14">
            <v>1120</v>
          </cell>
          <cell r="H14">
            <v>3.7333333333333338</v>
          </cell>
          <cell r="I14">
            <v>44.800000000000004</v>
          </cell>
          <cell r="J14">
            <v>16.369047619047617</v>
          </cell>
          <cell r="K14">
            <v>1120</v>
          </cell>
          <cell r="L14">
            <v>1120</v>
          </cell>
          <cell r="M14">
            <v>1120</v>
          </cell>
          <cell r="N14">
            <v>1120</v>
          </cell>
        </row>
        <row r="15">
          <cell r="A15" t="str">
            <v>[D9]TG 16:0_16:0_16:0</v>
          </cell>
          <cell r="B15" t="str">
            <v>TG</v>
          </cell>
          <cell r="C15" t="str">
            <v>1:0 DCM/MeOH</v>
          </cell>
          <cell r="D15">
            <v>1</v>
          </cell>
          <cell r="E15">
            <v>1</v>
          </cell>
          <cell r="F15">
            <v>1</v>
          </cell>
          <cell r="G15">
            <v>50</v>
          </cell>
          <cell r="H15">
            <v>2.5</v>
          </cell>
          <cell r="I15">
            <v>30</v>
          </cell>
          <cell r="J15">
            <v>33.333333333333336</v>
          </cell>
          <cell r="K15">
            <v>28.7</v>
          </cell>
          <cell r="L15">
            <v>28.7</v>
          </cell>
          <cell r="M15">
            <v>28.7</v>
          </cell>
          <cell r="N15">
            <v>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showGridLines="0" zoomScaleNormal="100" workbookViewId="0"/>
  </sheetViews>
  <sheetFormatPr defaultRowHeight="15" x14ac:dyDescent="0.25"/>
  <cols>
    <col min="1" max="1" width="30.7109375" bestFit="1" customWidth="1"/>
    <col min="2" max="2" width="30.7109375" customWidth="1"/>
    <col min="3" max="3" width="23" style="33" bestFit="1" customWidth="1"/>
    <col min="4" max="4" width="14.42578125" bestFit="1" customWidth="1"/>
    <col min="5" max="5" width="27.140625" bestFit="1" customWidth="1"/>
    <col min="6" max="6" width="27.85546875" bestFit="1" customWidth="1"/>
    <col min="7" max="7" width="16.5703125" customWidth="1"/>
    <col min="8" max="8" width="16" bestFit="1" customWidth="1"/>
    <col min="9" max="9" width="16.85546875" customWidth="1"/>
    <col min="10" max="10" width="16.42578125" bestFit="1" customWidth="1"/>
    <col min="11" max="11" width="15" customWidth="1"/>
    <col min="12" max="12" width="11.7109375" bestFit="1" customWidth="1"/>
  </cols>
  <sheetData>
    <row r="1" spans="1:11" ht="45" customHeight="1" x14ac:dyDescent="0.25">
      <c r="A1" s="38" t="s">
        <v>1</v>
      </c>
      <c r="B1" s="38" t="s">
        <v>2</v>
      </c>
      <c r="C1" s="39" t="s">
        <v>43</v>
      </c>
      <c r="D1" s="38" t="s">
        <v>3</v>
      </c>
      <c r="E1" s="38" t="s">
        <v>41</v>
      </c>
      <c r="F1" s="38" t="s">
        <v>42</v>
      </c>
      <c r="G1" s="44" t="s">
        <v>44</v>
      </c>
      <c r="H1" s="44" t="s">
        <v>39</v>
      </c>
      <c r="I1" s="44" t="s">
        <v>45</v>
      </c>
      <c r="J1" s="44" t="s">
        <v>40</v>
      </c>
    </row>
    <row r="2" spans="1:11" x14ac:dyDescent="0.25">
      <c r="A2" s="34" t="s">
        <v>23</v>
      </c>
      <c r="B2" s="34" t="s">
        <v>25</v>
      </c>
      <c r="C2" s="40">
        <v>528.71151899999995</v>
      </c>
      <c r="D2" s="35">
        <v>528.39152899999999</v>
      </c>
      <c r="E2" s="34">
        <f>VLOOKUP(A2,'[1]Standard Mix Plan'!$A$2:$N$15,14,FALSE)</f>
        <v>15</v>
      </c>
      <c r="F2" s="73">
        <f>1000*(E2/C2)</f>
        <v>28.370859080904573</v>
      </c>
      <c r="G2" s="35">
        <v>529.39935400000002</v>
      </c>
      <c r="H2" s="35" t="s">
        <v>6</v>
      </c>
      <c r="I2" s="35">
        <v>573.39028100000007</v>
      </c>
      <c r="J2" s="35" t="s">
        <v>17</v>
      </c>
    </row>
    <row r="3" spans="1:11" x14ac:dyDescent="0.25">
      <c r="A3" s="26" t="s">
        <v>46</v>
      </c>
      <c r="B3" s="26" t="s">
        <v>47</v>
      </c>
      <c r="C3" s="41">
        <v>462.60663499999998</v>
      </c>
      <c r="D3" s="27">
        <v>462.34148199999998</v>
      </c>
      <c r="E3" s="26">
        <f>VLOOKUP(A3,'[1]Standard Mix Plan'!$A$2:$N$15,14,FALSE)</f>
        <v>40</v>
      </c>
      <c r="F3" s="31">
        <f>1000*(E3/C3)</f>
        <v>86.466550571631998</v>
      </c>
      <c r="G3" s="27">
        <v>463.34930700000001</v>
      </c>
      <c r="H3" s="27" t="s">
        <v>6</v>
      </c>
      <c r="I3" s="27">
        <v>461.33475400000003</v>
      </c>
      <c r="J3" s="27" t="s">
        <v>12</v>
      </c>
    </row>
    <row r="4" spans="1:11" x14ac:dyDescent="0.25">
      <c r="A4" s="24" t="s">
        <v>24</v>
      </c>
      <c r="B4" s="24" t="s">
        <v>26</v>
      </c>
      <c r="C4" s="42">
        <v>363.58383099999998</v>
      </c>
      <c r="D4" s="25">
        <v>363.33604800000001</v>
      </c>
      <c r="E4" s="24">
        <f>VLOOKUP(A4,'[1]Standard Mix Plan'!$A$2:$N$15,14,FALSE)</f>
        <v>80</v>
      </c>
      <c r="F4" s="30">
        <f>1000*(E4/C4)</f>
        <v>220.0317868370775</v>
      </c>
      <c r="G4" s="25">
        <v>364.34387300000003</v>
      </c>
      <c r="H4" s="25" t="s">
        <v>8</v>
      </c>
      <c r="I4" s="25">
        <v>408.33480000000009</v>
      </c>
      <c r="J4" s="25" t="s">
        <v>17</v>
      </c>
    </row>
    <row r="5" spans="1:11" x14ac:dyDescent="0.25">
      <c r="A5" s="65" t="s">
        <v>48</v>
      </c>
      <c r="B5" s="65" t="s">
        <v>56</v>
      </c>
      <c r="C5" s="71">
        <v>315.54964100000001</v>
      </c>
      <c r="D5" s="68">
        <v>315.32111200000003</v>
      </c>
      <c r="E5" s="65">
        <f>VLOOKUP(A5,'[1]Standard Mix Plan'!$A$2:$N$15,14,FALSE)</f>
        <v>90</v>
      </c>
      <c r="F5" s="66">
        <f>1000*(E5/C5)</f>
        <v>285.2166135089978</v>
      </c>
      <c r="G5" s="68">
        <v>360.29227700000001</v>
      </c>
      <c r="H5" s="68" t="s">
        <v>31</v>
      </c>
      <c r="I5" s="68">
        <v>314.31438400000008</v>
      </c>
      <c r="J5" s="68" t="s">
        <v>12</v>
      </c>
    </row>
    <row r="6" spans="1:11" x14ac:dyDescent="0.25">
      <c r="A6" s="24" t="s">
        <v>29</v>
      </c>
      <c r="B6" s="24" t="s">
        <v>27</v>
      </c>
      <c r="C6" s="42">
        <v>742.02519400000006</v>
      </c>
      <c r="D6" s="25">
        <v>741.55317400000001</v>
      </c>
      <c r="E6" s="24">
        <f>VLOOKUP(A6,'[1]Standard Mix Plan'!$A$2:$N$15,14,FALSE)</f>
        <v>50</v>
      </c>
      <c r="F6" s="30">
        <f>1000*(E6/C6)</f>
        <v>67.383156804241864</v>
      </c>
      <c r="G6" s="25">
        <v>759.58754800000008</v>
      </c>
      <c r="H6" s="25" t="s">
        <v>7</v>
      </c>
      <c r="I6" s="25">
        <v>740.54644600000006</v>
      </c>
      <c r="J6" s="25" t="s">
        <v>12</v>
      </c>
    </row>
    <row r="7" spans="1:11" x14ac:dyDescent="0.25">
      <c r="A7" s="26" t="s">
        <v>64</v>
      </c>
      <c r="B7" s="26" t="s">
        <v>77</v>
      </c>
      <c r="C7" s="41">
        <v>1489.026537</v>
      </c>
      <c r="D7" s="27">
        <v>1454.0041590000001</v>
      </c>
      <c r="E7" s="26">
        <f>VLOOKUP(A7,'[1]Standard Mix Plan'!$A$2:$N$15,14,FALSE)</f>
        <v>200</v>
      </c>
      <c r="F7" s="31">
        <f>1000*(E7/C7)</f>
        <v>134.31594067016954</v>
      </c>
      <c r="G7" s="27">
        <v>1472.0385330000001</v>
      </c>
      <c r="H7" s="27" t="s">
        <v>6</v>
      </c>
      <c r="I7" s="27">
        <v>1452.9974310000002</v>
      </c>
      <c r="J7" s="27" t="s">
        <v>12</v>
      </c>
      <c r="K7" t="s">
        <v>87</v>
      </c>
    </row>
    <row r="8" spans="1:11" x14ac:dyDescent="0.25">
      <c r="A8" s="24" t="s">
        <v>49</v>
      </c>
      <c r="B8" s="24" t="s">
        <v>57</v>
      </c>
      <c r="C8" s="42">
        <v>392.69151499999998</v>
      </c>
      <c r="D8" s="25">
        <v>392.39197799999999</v>
      </c>
      <c r="E8" s="24">
        <f>VLOOKUP(A8,'[1]Standard Mix Plan'!$A$2:$N$15,14,FALSE)</f>
        <v>1120</v>
      </c>
      <c r="F8" s="30">
        <f>1000*(E8/C8)</f>
        <v>2852.1115359469886</v>
      </c>
      <c r="G8" s="25">
        <v>375.38923900000003</v>
      </c>
      <c r="H8" s="25" t="s">
        <v>9</v>
      </c>
      <c r="I8" s="25"/>
      <c r="J8" s="25" t="s">
        <v>18</v>
      </c>
    </row>
    <row r="9" spans="1:11" x14ac:dyDescent="0.25">
      <c r="A9" s="26" t="s">
        <v>50</v>
      </c>
      <c r="B9" s="26" t="s">
        <v>58</v>
      </c>
      <c r="C9" s="41">
        <v>548.97334000000001</v>
      </c>
      <c r="D9" s="27">
        <v>548.58368700000005</v>
      </c>
      <c r="E9" s="26">
        <f>VLOOKUP(A9,'[1]Standard Mix Plan'!$A$2:$N$15,14,FALSE)</f>
        <v>25</v>
      </c>
      <c r="F9" s="31">
        <f>1000*(E9/C9)</f>
        <v>45.539552066408184</v>
      </c>
      <c r="G9" s="27">
        <v>549.59151200000008</v>
      </c>
      <c r="H9" s="27" t="s">
        <v>6</v>
      </c>
      <c r="I9" s="27">
        <v>593.58243900000014</v>
      </c>
      <c r="J9" s="27" t="s">
        <v>17</v>
      </c>
    </row>
    <row r="10" spans="1:11" x14ac:dyDescent="0.25">
      <c r="A10" s="24" t="s">
        <v>51</v>
      </c>
      <c r="B10" s="24" t="s">
        <v>59</v>
      </c>
      <c r="C10" s="42">
        <v>712.08514600000001</v>
      </c>
      <c r="D10" s="25">
        <v>711.62351699999999</v>
      </c>
      <c r="E10" s="24">
        <f>VLOOKUP(A10,'[1]Standard Mix Plan'!$A$2:$N$15,14,FALSE)</f>
        <v>20</v>
      </c>
      <c r="F10" s="30">
        <f>1000*(E10/C10)</f>
        <v>28.08652885451426</v>
      </c>
      <c r="G10" s="25">
        <v>712.63134200000002</v>
      </c>
      <c r="H10" s="25" t="s">
        <v>6</v>
      </c>
      <c r="I10" s="25">
        <v>756.62226900000007</v>
      </c>
      <c r="J10" s="25" t="s">
        <v>17</v>
      </c>
    </row>
    <row r="11" spans="1:11" x14ac:dyDescent="0.25">
      <c r="A11" s="26" t="s">
        <v>30</v>
      </c>
      <c r="B11" s="26" t="s">
        <v>28</v>
      </c>
      <c r="C11" s="41">
        <v>753.09430299999997</v>
      </c>
      <c r="D11" s="27">
        <v>752.60554400000001</v>
      </c>
      <c r="E11" s="26">
        <f>VLOOKUP(A11,'[1]Standard Mix Plan'!$A$2:$N$15,14,FALSE)</f>
        <v>25</v>
      </c>
      <c r="F11" s="31">
        <f>1000*(E11/C11)</f>
        <v>33.196373814555336</v>
      </c>
      <c r="G11" s="27">
        <v>753.61336900000003</v>
      </c>
      <c r="H11" s="27" t="s">
        <v>6</v>
      </c>
      <c r="I11" s="27">
        <v>797.60429600000009</v>
      </c>
      <c r="J11" s="27" t="s">
        <v>17</v>
      </c>
    </row>
    <row r="12" spans="1:11" x14ac:dyDescent="0.25">
      <c r="A12" s="24" t="s">
        <v>52</v>
      </c>
      <c r="B12" s="24" t="s">
        <v>60</v>
      </c>
      <c r="C12" s="42">
        <v>701.01603699999998</v>
      </c>
      <c r="D12" s="25">
        <v>700.571147</v>
      </c>
      <c r="E12" s="24">
        <f>VLOOKUP(A12,'[1]Standard Mix Plan'!$A$2:$N$15,14,FALSE)</f>
        <v>70</v>
      </c>
      <c r="F12" s="30">
        <f>1000*(E12/C12)</f>
        <v>99.855062231621957</v>
      </c>
      <c r="G12" s="25">
        <v>701.57897200000002</v>
      </c>
      <c r="H12" s="25" t="s">
        <v>6</v>
      </c>
      <c r="I12" s="25">
        <v>699.56441900000004</v>
      </c>
      <c r="J12" s="25" t="s">
        <v>12</v>
      </c>
    </row>
    <row r="13" spans="1:11" x14ac:dyDescent="0.25">
      <c r="A13" s="26" t="s">
        <v>53</v>
      </c>
      <c r="B13" s="26" t="s">
        <v>61</v>
      </c>
      <c r="C13" s="41">
        <v>577.96820200000002</v>
      </c>
      <c r="D13" s="27">
        <v>577.56161699999996</v>
      </c>
      <c r="E13" s="26">
        <f>VLOOKUP(A13,'[1]Standard Mix Plan'!$A$2:$N$15,14,FALSE)</f>
        <v>25</v>
      </c>
      <c r="F13" s="31">
        <f>1000*(E13/C13)</f>
        <v>43.254974778006904</v>
      </c>
      <c r="G13" s="27">
        <v>595.59599100000003</v>
      </c>
      <c r="H13" s="27" t="s">
        <v>7</v>
      </c>
      <c r="I13" s="27">
        <v>622.56036900000004</v>
      </c>
      <c r="J13" s="27" t="s">
        <v>17</v>
      </c>
    </row>
    <row r="14" spans="1:11" x14ac:dyDescent="0.25">
      <c r="A14" s="59" t="s">
        <v>54</v>
      </c>
      <c r="B14" s="59" t="s">
        <v>62</v>
      </c>
      <c r="C14" s="72">
        <v>816.37760300000002</v>
      </c>
      <c r="D14" s="62">
        <v>815.792283</v>
      </c>
      <c r="E14" s="59">
        <f>VLOOKUP(A14,'[1]Standard Mix Plan'!$A$2:$N$15,14,FALSE)</f>
        <v>30</v>
      </c>
      <c r="F14" s="60">
        <f>1000*(E14/C14)</f>
        <v>36.747700928782095</v>
      </c>
      <c r="G14" s="62">
        <v>833.82665700000007</v>
      </c>
      <c r="H14" s="62" t="s">
        <v>7</v>
      </c>
      <c r="I14" s="62"/>
      <c r="J14" s="62" t="s">
        <v>18</v>
      </c>
    </row>
    <row r="15" spans="1:11" x14ac:dyDescent="0.25">
      <c r="A15" s="36" t="s">
        <v>55</v>
      </c>
      <c r="B15" s="36" t="s">
        <v>63</v>
      </c>
      <c r="C15" s="43">
        <v>632.107078</v>
      </c>
      <c r="D15" s="37">
        <v>631.62792000000002</v>
      </c>
      <c r="E15" s="36">
        <f>VLOOKUP(A15,'[1]Standard Mix Plan'!$A$2:$N$15,14,FALSE)</f>
        <v>500</v>
      </c>
      <c r="F15" s="74">
        <f>1000*(E15/C15)</f>
        <v>791.00522269424732</v>
      </c>
      <c r="G15" s="37">
        <v>649.66229400000009</v>
      </c>
      <c r="H15" s="37" t="s">
        <v>7</v>
      </c>
      <c r="I15" s="37"/>
      <c r="J15" s="37" t="s">
        <v>18</v>
      </c>
    </row>
    <row r="17" spans="1:1" x14ac:dyDescent="0.25">
      <c r="A17" t="s">
        <v>76</v>
      </c>
    </row>
    <row r="43" ht="15.75" customHeight="1" x14ac:dyDescent="0.25"/>
  </sheetData>
  <autoFilter ref="A1:J15" xr:uid="{00000000-0001-0000-0100-000000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72"/>
  <sheetViews>
    <sheetView showGridLines="0" tabSelected="1" zoomScale="70" zoomScaleNormal="70" workbookViewId="0">
      <selection activeCell="A12" sqref="A12"/>
    </sheetView>
  </sheetViews>
  <sheetFormatPr defaultRowHeight="15" x14ac:dyDescent="0.25"/>
  <cols>
    <col min="1" max="1" width="30.7109375" bestFit="1" customWidth="1"/>
    <col min="2" max="2" width="22.28515625" customWidth="1"/>
    <col min="3" max="3" width="14.42578125" bestFit="1" customWidth="1"/>
    <col min="4" max="4" width="22.5703125" style="28" customWidth="1"/>
    <col min="5" max="5" width="23.140625" bestFit="1" customWidth="1"/>
    <col min="6" max="6" width="23.140625" customWidth="1"/>
    <col min="7" max="7" width="14.7109375" customWidth="1"/>
    <col min="8" max="8" width="15.140625" style="10" customWidth="1"/>
    <col min="9" max="9" width="12.5703125" style="10" bestFit="1" customWidth="1"/>
    <col min="10" max="10" width="13.140625" style="10" customWidth="1"/>
    <col min="11" max="11" width="19.42578125" style="10" customWidth="1"/>
    <col min="12" max="14" width="18.7109375" style="10" customWidth="1"/>
    <col min="15" max="16" width="17.42578125" customWidth="1"/>
    <col min="17" max="17" width="15.140625" customWidth="1"/>
    <col min="18" max="18" width="18.140625" bestFit="1" customWidth="1"/>
    <col min="19" max="19" width="13.7109375" customWidth="1"/>
    <col min="20" max="20" width="11.7109375" bestFit="1" customWidth="1"/>
  </cols>
  <sheetData>
    <row r="1" spans="1:20" x14ac:dyDescent="0.25">
      <c r="A1" s="49" t="s">
        <v>21</v>
      </c>
      <c r="B1" s="50"/>
      <c r="C1" s="50"/>
      <c r="D1" s="50"/>
      <c r="E1" s="50"/>
      <c r="F1" s="75"/>
      <c r="G1" s="54" t="s">
        <v>0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5"/>
    </row>
    <row r="2" spans="1:20" ht="30" customHeight="1" x14ac:dyDescent="0.25">
      <c r="A2" s="1" t="s">
        <v>1</v>
      </c>
      <c r="B2" s="2" t="s">
        <v>2</v>
      </c>
      <c r="C2" s="4" t="s">
        <v>3</v>
      </c>
      <c r="D2" s="29" t="s">
        <v>4</v>
      </c>
      <c r="E2" s="3" t="s">
        <v>5</v>
      </c>
      <c r="F2" s="3" t="s">
        <v>65</v>
      </c>
      <c r="G2" s="3" t="s">
        <v>6</v>
      </c>
      <c r="H2" s="9" t="s">
        <v>7</v>
      </c>
      <c r="I2" s="9" t="s">
        <v>8</v>
      </c>
      <c r="J2" s="9" t="s">
        <v>9</v>
      </c>
      <c r="K2" s="9" t="s">
        <v>31</v>
      </c>
      <c r="L2" s="9" t="s">
        <v>10</v>
      </c>
      <c r="M2" s="9" t="s">
        <v>33</v>
      </c>
      <c r="N2" s="9" t="s">
        <v>34</v>
      </c>
      <c r="O2" s="9" t="s">
        <v>38</v>
      </c>
      <c r="P2" s="9" t="s">
        <v>66</v>
      </c>
      <c r="Q2" s="9" t="s">
        <v>11</v>
      </c>
      <c r="R2" s="14" t="s">
        <v>67</v>
      </c>
    </row>
    <row r="3" spans="1:20" x14ac:dyDescent="0.25">
      <c r="A3" s="5" t="s">
        <v>23</v>
      </c>
      <c r="B3" s="59" t="s">
        <v>25</v>
      </c>
      <c r="C3" s="12">
        <v>528.39152899999999</v>
      </c>
      <c r="D3" s="60" t="s">
        <v>70</v>
      </c>
      <c r="E3" s="72" t="s">
        <v>6</v>
      </c>
      <c r="F3" s="72"/>
      <c r="G3" s="61">
        <f>$C3+G$17</f>
        <v>529.39935400000002</v>
      </c>
      <c r="H3" s="62">
        <f t="shared" ref="H3:K3" si="0">$C3+H$17</f>
        <v>546.42590300000006</v>
      </c>
      <c r="I3" s="63">
        <f t="shared" si="0"/>
        <v>551.38129800000002</v>
      </c>
      <c r="J3" s="63">
        <f t="shared" si="0"/>
        <v>511.38879000000003</v>
      </c>
      <c r="K3" s="62">
        <f t="shared" si="0"/>
        <v>573.36269399999992</v>
      </c>
      <c r="L3" s="63">
        <f>$C3+L$17</f>
        <v>567.35523599999999</v>
      </c>
      <c r="M3" s="63">
        <f>2*$C3+G$17</f>
        <v>1057.7908829999999</v>
      </c>
      <c r="N3" s="64">
        <f>2*$C3+H$17</f>
        <v>1074.8174320000001</v>
      </c>
      <c r="O3" s="64">
        <f>3*$C3+$H$17</f>
        <v>1603.208961</v>
      </c>
      <c r="P3" s="64">
        <f>2*$C3+I$17</f>
        <v>1079.772827</v>
      </c>
      <c r="Q3" s="64"/>
      <c r="R3" s="56">
        <f t="shared" ref="R3:R8" si="1">($C3+2*G$17)/2</f>
        <v>265.20358950000002</v>
      </c>
      <c r="S3" t="s">
        <v>68</v>
      </c>
    </row>
    <row r="4" spans="1:20" x14ac:dyDescent="0.25">
      <c r="A4" s="6" t="s">
        <v>46</v>
      </c>
      <c r="B4" s="65" t="s">
        <v>47</v>
      </c>
      <c r="C4" s="13">
        <v>462.34148199999998</v>
      </c>
      <c r="D4" s="66" t="s">
        <v>69</v>
      </c>
      <c r="E4" s="71" t="s">
        <v>6</v>
      </c>
      <c r="F4" s="71"/>
      <c r="G4" s="67">
        <f t="shared" ref="G4:L16" si="2">$C4+G$17</f>
        <v>463.34930700000001</v>
      </c>
      <c r="H4" s="68">
        <f t="shared" si="2"/>
        <v>480.37585600000006</v>
      </c>
      <c r="I4" s="69">
        <f t="shared" si="2"/>
        <v>485.33125100000001</v>
      </c>
      <c r="J4" s="69">
        <f t="shared" si="2"/>
        <v>445.33874300000002</v>
      </c>
      <c r="K4" s="69">
        <f t="shared" si="2"/>
        <v>507.31264699999997</v>
      </c>
      <c r="L4" s="69">
        <f t="shared" si="2"/>
        <v>501.30518899999998</v>
      </c>
      <c r="M4" s="69">
        <f t="shared" ref="M4:M16" si="3">2*$C4+G$17</f>
        <v>925.690789</v>
      </c>
      <c r="N4" s="70">
        <f t="shared" ref="N4:N16" si="4">2*$C4+H$17</f>
        <v>942.71733800000004</v>
      </c>
      <c r="O4" s="70">
        <f t="shared" ref="O4:O16" si="5">3*$C4+$H$17</f>
        <v>1405.05882</v>
      </c>
      <c r="P4" s="70">
        <f t="shared" ref="P4:P16" si="6">2*$C4+I$17</f>
        <v>947.67273299999999</v>
      </c>
      <c r="Q4" s="70"/>
      <c r="R4" s="57">
        <f t="shared" si="1"/>
        <v>232.17856600000002</v>
      </c>
      <c r="S4" s="10"/>
    </row>
    <row r="5" spans="1:20" x14ac:dyDescent="0.25">
      <c r="A5" s="5" t="s">
        <v>24</v>
      </c>
      <c r="B5" s="59" t="s">
        <v>26</v>
      </c>
      <c r="C5" s="12">
        <v>363.33604800000001</v>
      </c>
      <c r="D5" s="60" t="s">
        <v>71</v>
      </c>
      <c r="E5" s="72" t="s">
        <v>8</v>
      </c>
      <c r="F5" s="72"/>
      <c r="G5" s="61">
        <f t="shared" si="2"/>
        <v>364.34387300000003</v>
      </c>
      <c r="H5" s="63">
        <f t="shared" si="2"/>
        <v>381.37042200000008</v>
      </c>
      <c r="I5" s="61">
        <f t="shared" si="2"/>
        <v>386.32581700000003</v>
      </c>
      <c r="J5" s="61">
        <f t="shared" si="2"/>
        <v>346.33330900000004</v>
      </c>
      <c r="K5" s="62">
        <f t="shared" si="2"/>
        <v>408.30721299999999</v>
      </c>
      <c r="L5" s="62">
        <f t="shared" si="2"/>
        <v>402.299755</v>
      </c>
      <c r="M5" s="64">
        <f t="shared" si="3"/>
        <v>727.67992100000004</v>
      </c>
      <c r="N5" s="64">
        <f t="shared" si="4"/>
        <v>744.70647000000008</v>
      </c>
      <c r="O5" s="64">
        <f t="shared" si="5"/>
        <v>1108.042518</v>
      </c>
      <c r="P5" s="63">
        <f t="shared" si="6"/>
        <v>749.66186500000003</v>
      </c>
      <c r="Q5" s="63"/>
      <c r="R5" s="56">
        <f t="shared" si="1"/>
        <v>182.67584900000003</v>
      </c>
    </row>
    <row r="6" spans="1:20" x14ac:dyDescent="0.25">
      <c r="A6" s="5" t="s">
        <v>48</v>
      </c>
      <c r="B6" s="59" t="s">
        <v>56</v>
      </c>
      <c r="C6" s="12">
        <v>315.32111200000003</v>
      </c>
      <c r="D6" s="60" t="s">
        <v>72</v>
      </c>
      <c r="E6" s="72" t="s">
        <v>31</v>
      </c>
      <c r="F6" s="72"/>
      <c r="G6" s="62">
        <f t="shared" si="2"/>
        <v>316.32893700000005</v>
      </c>
      <c r="H6" s="62">
        <f t="shared" si="2"/>
        <v>333.3554860000001</v>
      </c>
      <c r="I6" s="62">
        <f t="shared" si="2"/>
        <v>338.31088100000005</v>
      </c>
      <c r="J6" s="62">
        <f t="shared" si="2"/>
        <v>298.31837300000007</v>
      </c>
      <c r="K6" s="63">
        <f t="shared" si="2"/>
        <v>360.29227700000001</v>
      </c>
      <c r="L6" s="62">
        <f t="shared" si="2"/>
        <v>354.28481900000003</v>
      </c>
      <c r="M6" s="62">
        <f t="shared" si="3"/>
        <v>631.65004900000008</v>
      </c>
      <c r="N6" s="62">
        <f t="shared" si="4"/>
        <v>648.67659800000013</v>
      </c>
      <c r="O6" s="62">
        <f t="shared" si="5"/>
        <v>963.9977100000001</v>
      </c>
      <c r="P6" s="62">
        <f t="shared" si="6"/>
        <v>653.63199300000008</v>
      </c>
      <c r="Q6" s="62">
        <f>C6+2*I17-G17</f>
        <v>360.29282500000005</v>
      </c>
      <c r="R6" s="15">
        <f t="shared" si="1"/>
        <v>158.66838100000004</v>
      </c>
    </row>
    <row r="7" spans="1:20" x14ac:dyDescent="0.25">
      <c r="A7" s="6" t="s">
        <v>29</v>
      </c>
      <c r="B7" s="65" t="s">
        <v>27</v>
      </c>
      <c r="C7" s="13">
        <v>741.55317400000001</v>
      </c>
      <c r="D7" s="66" t="s">
        <v>73</v>
      </c>
      <c r="E7" s="71" t="s">
        <v>7</v>
      </c>
      <c r="F7" s="71"/>
      <c r="G7" s="69">
        <f t="shared" si="2"/>
        <v>742.56099900000004</v>
      </c>
      <c r="H7" s="67">
        <f t="shared" si="2"/>
        <v>759.58754800000008</v>
      </c>
      <c r="I7" s="69">
        <f t="shared" si="2"/>
        <v>764.54294300000004</v>
      </c>
      <c r="J7" s="68">
        <f t="shared" si="2"/>
        <v>724.55043500000011</v>
      </c>
      <c r="K7" s="70">
        <f t="shared" si="2"/>
        <v>786.52433899999994</v>
      </c>
      <c r="L7" s="68">
        <f t="shared" si="2"/>
        <v>780.51688100000001</v>
      </c>
      <c r="M7" s="69">
        <f t="shared" si="3"/>
        <v>1484.1141729999999</v>
      </c>
      <c r="N7" s="69">
        <f t="shared" si="4"/>
        <v>1501.1407220000001</v>
      </c>
      <c r="O7" s="68">
        <f t="shared" si="5"/>
        <v>2242.6938959999998</v>
      </c>
      <c r="P7" s="68">
        <f t="shared" si="6"/>
        <v>1506.096117</v>
      </c>
      <c r="Q7" s="68"/>
      <c r="R7" s="16">
        <f t="shared" si="1"/>
        <v>371.78441200000003</v>
      </c>
    </row>
    <row r="8" spans="1:20" x14ac:dyDescent="0.25">
      <c r="A8" s="5" t="s">
        <v>64</v>
      </c>
      <c r="B8" s="59" t="s">
        <v>77</v>
      </c>
      <c r="C8" s="12">
        <v>1454.0041590000001</v>
      </c>
      <c r="D8" s="60" t="s">
        <v>74</v>
      </c>
      <c r="E8" s="72" t="s">
        <v>6</v>
      </c>
      <c r="F8" s="72"/>
      <c r="G8" s="64">
        <f>$C8+G$17</f>
        <v>1455.011984</v>
      </c>
      <c r="H8" s="61">
        <f t="shared" si="2"/>
        <v>1472.0385330000001</v>
      </c>
      <c r="I8" s="62">
        <f t="shared" si="2"/>
        <v>1476.9939280000001</v>
      </c>
      <c r="J8" s="62">
        <f t="shared" si="2"/>
        <v>1437.0014200000001</v>
      </c>
      <c r="K8" s="62">
        <f t="shared" si="2"/>
        <v>1498.975324</v>
      </c>
      <c r="L8" s="62">
        <f t="shared" si="2"/>
        <v>1492.967866</v>
      </c>
      <c r="M8" s="62">
        <f t="shared" ref="M8" si="7">2*$C8+G$17</f>
        <v>2909.0161430000003</v>
      </c>
      <c r="N8" s="62">
        <f t="shared" ref="N8" si="8">2*$C8+H$17</f>
        <v>2926.042692</v>
      </c>
      <c r="O8" s="62">
        <f t="shared" si="5"/>
        <v>4380.0468510000001</v>
      </c>
      <c r="P8" s="62">
        <f t="shared" ref="P8" si="9">2*$C8+I$17</f>
        <v>2930.9980869999999</v>
      </c>
      <c r="Q8" s="61"/>
      <c r="R8" s="15">
        <f>($C8+2*G$17)/2</f>
        <v>728.00990450000006</v>
      </c>
      <c r="S8" t="s">
        <v>75</v>
      </c>
    </row>
    <row r="9" spans="1:20" x14ac:dyDescent="0.25">
      <c r="A9" s="6" t="s">
        <v>49</v>
      </c>
      <c r="B9" s="65" t="s">
        <v>57</v>
      </c>
      <c r="C9" s="13">
        <v>392.39197799999999</v>
      </c>
      <c r="D9" s="66" t="s">
        <v>80</v>
      </c>
      <c r="E9" s="71" t="s">
        <v>9</v>
      </c>
      <c r="F9" s="71"/>
      <c r="G9" s="68">
        <f t="shared" si="2"/>
        <v>393.39980300000002</v>
      </c>
      <c r="H9" s="69">
        <f t="shared" si="2"/>
        <v>410.42635200000007</v>
      </c>
      <c r="I9" s="69">
        <f t="shared" si="2"/>
        <v>415.38174700000002</v>
      </c>
      <c r="J9" s="67">
        <f t="shared" si="2"/>
        <v>375.38923900000003</v>
      </c>
      <c r="K9" s="68">
        <f t="shared" si="2"/>
        <v>437.36314299999998</v>
      </c>
      <c r="L9" s="68">
        <f t="shared" si="2"/>
        <v>431.35568499999999</v>
      </c>
      <c r="M9" s="68">
        <f t="shared" si="3"/>
        <v>785.79178100000001</v>
      </c>
      <c r="N9" s="68">
        <f t="shared" si="4"/>
        <v>802.81833000000006</v>
      </c>
      <c r="O9" s="68">
        <f t="shared" si="5"/>
        <v>1195.2103079999999</v>
      </c>
      <c r="P9" s="69">
        <f t="shared" si="6"/>
        <v>807.77372500000001</v>
      </c>
      <c r="Q9" s="68">
        <f>3*C9+G17</f>
        <v>1178.1837589999998</v>
      </c>
      <c r="R9" s="16">
        <f t="shared" ref="R9:R16" si="10">($C9+2*G$17)/2</f>
        <v>197.20381400000002</v>
      </c>
      <c r="S9" t="s">
        <v>68</v>
      </c>
    </row>
    <row r="10" spans="1:20" x14ac:dyDescent="0.25">
      <c r="A10" s="5" t="s">
        <v>50</v>
      </c>
      <c r="B10" s="59" t="s">
        <v>58</v>
      </c>
      <c r="C10" s="12">
        <v>548.58368700000005</v>
      </c>
      <c r="D10" s="60" t="s">
        <v>79</v>
      </c>
      <c r="E10" s="72" t="s">
        <v>6</v>
      </c>
      <c r="F10" s="72"/>
      <c r="G10" s="61">
        <f t="shared" si="2"/>
        <v>549.59151200000008</v>
      </c>
      <c r="H10" s="62">
        <f t="shared" si="2"/>
        <v>566.61806100000013</v>
      </c>
      <c r="I10" s="63">
        <f t="shared" si="2"/>
        <v>571.57345600000008</v>
      </c>
      <c r="J10" s="62">
        <f t="shared" si="2"/>
        <v>531.58094800000015</v>
      </c>
      <c r="K10" s="63">
        <f t="shared" si="2"/>
        <v>593.55485199999998</v>
      </c>
      <c r="L10" s="62">
        <f t="shared" si="2"/>
        <v>587.54739400000005</v>
      </c>
      <c r="M10" s="63">
        <f t="shared" si="3"/>
        <v>1098.175199</v>
      </c>
      <c r="N10" s="62">
        <f t="shared" si="4"/>
        <v>1115.2017480000002</v>
      </c>
      <c r="O10" s="62">
        <f t="shared" si="5"/>
        <v>1663.7854350000002</v>
      </c>
      <c r="P10" s="63">
        <f t="shared" si="6"/>
        <v>1120.1571430000001</v>
      </c>
      <c r="Q10" s="62"/>
      <c r="R10" s="15">
        <f t="shared" si="10"/>
        <v>275.29966850000005</v>
      </c>
    </row>
    <row r="11" spans="1:20" x14ac:dyDescent="0.25">
      <c r="A11" s="6" t="s">
        <v>51</v>
      </c>
      <c r="B11" s="65" t="s">
        <v>59</v>
      </c>
      <c r="C11" s="13">
        <v>711.62351699999999</v>
      </c>
      <c r="D11" s="66" t="s">
        <v>81</v>
      </c>
      <c r="E11" s="71" t="s">
        <v>6</v>
      </c>
      <c r="F11" s="71"/>
      <c r="G11" s="67">
        <f t="shared" si="2"/>
        <v>712.63134200000002</v>
      </c>
      <c r="H11" s="68">
        <f t="shared" si="2"/>
        <v>729.65789100000006</v>
      </c>
      <c r="I11" s="69">
        <f t="shared" si="2"/>
        <v>734.61328600000002</v>
      </c>
      <c r="J11" s="68">
        <f t="shared" si="2"/>
        <v>694.62077800000009</v>
      </c>
      <c r="K11" s="68">
        <f t="shared" si="2"/>
        <v>756.59468199999992</v>
      </c>
      <c r="L11" s="68">
        <f t="shared" si="2"/>
        <v>750.58722399999999</v>
      </c>
      <c r="M11" s="68">
        <f t="shared" si="3"/>
        <v>1424.2548589999999</v>
      </c>
      <c r="N11" s="68">
        <f t="shared" si="4"/>
        <v>1441.2814080000001</v>
      </c>
      <c r="O11" s="68">
        <f t="shared" si="5"/>
        <v>2152.9049249999998</v>
      </c>
      <c r="P11" s="68">
        <f t="shared" si="6"/>
        <v>1446.236803</v>
      </c>
      <c r="Q11" s="68"/>
      <c r="R11" s="16">
        <f t="shared" si="10"/>
        <v>356.81958350000002</v>
      </c>
      <c r="S11" t="s">
        <v>68</v>
      </c>
    </row>
    <row r="12" spans="1:20" x14ac:dyDescent="0.25">
      <c r="A12" s="5" t="s">
        <v>30</v>
      </c>
      <c r="B12" s="59" t="s">
        <v>28</v>
      </c>
      <c r="C12" s="12">
        <v>752.60554400000001</v>
      </c>
      <c r="D12" s="60" t="s">
        <v>82</v>
      </c>
      <c r="E12" s="72" t="s">
        <v>6</v>
      </c>
      <c r="F12" s="72"/>
      <c r="G12" s="61">
        <f t="shared" si="2"/>
        <v>753.61336900000003</v>
      </c>
      <c r="H12" s="62">
        <f t="shared" si="2"/>
        <v>770.63991800000008</v>
      </c>
      <c r="I12" s="63">
        <f t="shared" si="2"/>
        <v>775.59531300000003</v>
      </c>
      <c r="J12" s="62">
        <f t="shared" si="2"/>
        <v>735.6028050000001</v>
      </c>
      <c r="K12" s="62">
        <f t="shared" si="2"/>
        <v>797.57670899999994</v>
      </c>
      <c r="L12" s="63">
        <f t="shared" si="2"/>
        <v>791.56925100000001</v>
      </c>
      <c r="M12" s="62">
        <f t="shared" si="3"/>
        <v>1506.2189129999999</v>
      </c>
      <c r="N12" s="62">
        <f t="shared" si="4"/>
        <v>1523.2454620000001</v>
      </c>
      <c r="O12" s="62">
        <f t="shared" si="5"/>
        <v>2275.8510059999999</v>
      </c>
      <c r="P12" s="62">
        <f t="shared" si="6"/>
        <v>1528.200857</v>
      </c>
      <c r="Q12" s="62"/>
      <c r="R12" s="15">
        <f t="shared" si="10"/>
        <v>377.31059700000003</v>
      </c>
    </row>
    <row r="13" spans="1:20" x14ac:dyDescent="0.25">
      <c r="A13" s="6" t="s">
        <v>52</v>
      </c>
      <c r="B13" s="65" t="s">
        <v>60</v>
      </c>
      <c r="C13" s="13">
        <v>700.571147</v>
      </c>
      <c r="D13" s="66" t="s">
        <v>83</v>
      </c>
      <c r="E13" s="71" t="s">
        <v>6</v>
      </c>
      <c r="F13" s="71"/>
      <c r="G13" s="67">
        <f t="shared" si="2"/>
        <v>701.57897200000002</v>
      </c>
      <c r="H13" s="68">
        <f t="shared" si="2"/>
        <v>718.60552100000007</v>
      </c>
      <c r="I13" s="68">
        <f t="shared" si="2"/>
        <v>723.56091600000002</v>
      </c>
      <c r="J13" s="68">
        <f t="shared" si="2"/>
        <v>683.56840800000009</v>
      </c>
      <c r="K13" s="68">
        <f t="shared" si="2"/>
        <v>745.54231199999992</v>
      </c>
      <c r="L13" s="68">
        <f t="shared" si="2"/>
        <v>739.534854</v>
      </c>
      <c r="M13" s="69">
        <f t="shared" si="3"/>
        <v>1402.1501189999999</v>
      </c>
      <c r="N13" s="68">
        <f t="shared" si="4"/>
        <v>1419.1766680000001</v>
      </c>
      <c r="O13" s="68">
        <f t="shared" si="5"/>
        <v>2119.7478149999997</v>
      </c>
      <c r="P13" s="68">
        <f t="shared" si="6"/>
        <v>1424.132063</v>
      </c>
      <c r="Q13" s="68"/>
      <c r="R13" s="16">
        <f t="shared" si="10"/>
        <v>351.29339850000002</v>
      </c>
    </row>
    <row r="14" spans="1:20" x14ac:dyDescent="0.25">
      <c r="A14" s="5" t="s">
        <v>53</v>
      </c>
      <c r="B14" s="59" t="s">
        <v>61</v>
      </c>
      <c r="C14" s="12">
        <v>577.56161699999996</v>
      </c>
      <c r="D14" s="60" t="s">
        <v>84</v>
      </c>
      <c r="E14" s="72" t="s">
        <v>7</v>
      </c>
      <c r="F14" s="72"/>
      <c r="G14" s="62">
        <f t="shared" si="2"/>
        <v>578.56944199999998</v>
      </c>
      <c r="H14" s="61">
        <f t="shared" si="2"/>
        <v>595.59599100000003</v>
      </c>
      <c r="I14" s="63">
        <f t="shared" si="2"/>
        <v>600.55138599999998</v>
      </c>
      <c r="J14" s="63">
        <f t="shared" si="2"/>
        <v>560.55887800000005</v>
      </c>
      <c r="K14" s="62">
        <f t="shared" si="2"/>
        <v>622.53278199999988</v>
      </c>
      <c r="L14" s="63">
        <f t="shared" si="2"/>
        <v>616.52532399999996</v>
      </c>
      <c r="M14" s="62">
        <f t="shared" si="3"/>
        <v>1156.1310589999998</v>
      </c>
      <c r="N14" s="63">
        <f t="shared" si="4"/>
        <v>1173.157608</v>
      </c>
      <c r="O14" s="62">
        <f t="shared" si="5"/>
        <v>1750.7192250000001</v>
      </c>
      <c r="P14" s="63">
        <f t="shared" si="6"/>
        <v>1178.1130029999999</v>
      </c>
      <c r="Q14" s="62"/>
      <c r="R14" s="15">
        <f t="shared" si="10"/>
        <v>289.7886335</v>
      </c>
    </row>
    <row r="15" spans="1:20" x14ac:dyDescent="0.25">
      <c r="A15" s="6" t="s">
        <v>54</v>
      </c>
      <c r="B15" s="65" t="s">
        <v>62</v>
      </c>
      <c r="C15" s="13">
        <v>815.792283</v>
      </c>
      <c r="D15" s="66" t="s">
        <v>85</v>
      </c>
      <c r="E15" s="71" t="s">
        <v>7</v>
      </c>
      <c r="F15" s="71"/>
      <c r="G15" s="68">
        <f t="shared" si="2"/>
        <v>816.80010800000002</v>
      </c>
      <c r="H15" s="67">
        <f t="shared" si="2"/>
        <v>833.82665700000007</v>
      </c>
      <c r="I15" s="69">
        <f t="shared" si="2"/>
        <v>838.78205200000002</v>
      </c>
      <c r="J15" s="68">
        <f t="shared" si="2"/>
        <v>798.78954400000009</v>
      </c>
      <c r="K15" s="68">
        <f t="shared" si="2"/>
        <v>860.76344799999993</v>
      </c>
      <c r="L15" s="68">
        <f t="shared" si="2"/>
        <v>854.75599</v>
      </c>
      <c r="M15" s="68">
        <f t="shared" si="3"/>
        <v>1632.5923909999999</v>
      </c>
      <c r="N15" s="68">
        <f t="shared" si="4"/>
        <v>1649.6189400000001</v>
      </c>
      <c r="O15" s="68">
        <f t="shared" si="5"/>
        <v>2465.4112230000001</v>
      </c>
      <c r="P15" s="68">
        <f t="shared" si="6"/>
        <v>1654.574335</v>
      </c>
      <c r="Q15" s="68"/>
      <c r="R15" s="16">
        <f t="shared" si="10"/>
        <v>408.90396650000002</v>
      </c>
      <c r="S15" s="10"/>
    </row>
    <row r="16" spans="1:20" ht="15.75" thickBot="1" x14ac:dyDescent="0.3">
      <c r="A16" s="7" t="s">
        <v>55</v>
      </c>
      <c r="B16" s="8" t="s">
        <v>63</v>
      </c>
      <c r="C16" s="17">
        <v>631.62792000000002</v>
      </c>
      <c r="D16" s="32" t="s">
        <v>86</v>
      </c>
      <c r="E16" s="76" t="s">
        <v>7</v>
      </c>
      <c r="F16" s="76"/>
      <c r="G16" s="20">
        <f t="shared" si="2"/>
        <v>632.63574500000004</v>
      </c>
      <c r="H16" s="21">
        <f t="shared" si="2"/>
        <v>649.66229400000009</v>
      </c>
      <c r="I16" s="20">
        <f t="shared" si="2"/>
        <v>654.61768900000004</v>
      </c>
      <c r="J16" s="18">
        <f t="shared" si="2"/>
        <v>614.62518100000011</v>
      </c>
      <c r="K16" s="18">
        <f t="shared" si="2"/>
        <v>676.59908499999995</v>
      </c>
      <c r="L16" s="18">
        <f t="shared" si="2"/>
        <v>670.59162700000002</v>
      </c>
      <c r="M16" s="20">
        <f t="shared" si="3"/>
        <v>1264.2636649999999</v>
      </c>
      <c r="N16" s="20">
        <f t="shared" si="4"/>
        <v>1281.2902140000001</v>
      </c>
      <c r="O16" s="18">
        <f t="shared" si="5"/>
        <v>1912.9181340000002</v>
      </c>
      <c r="P16" s="18">
        <f t="shared" si="6"/>
        <v>1286.2456090000001</v>
      </c>
      <c r="Q16" s="21">
        <v>376.39551499999999</v>
      </c>
      <c r="R16" s="19">
        <f t="shared" si="10"/>
        <v>316.82178500000003</v>
      </c>
      <c r="S16" s="10"/>
      <c r="T16" s="10"/>
    </row>
    <row r="17" spans="1:19" x14ac:dyDescent="0.25">
      <c r="E17" s="78"/>
      <c r="F17" s="11"/>
      <c r="G17" s="33">
        <v>1.0078250000000251</v>
      </c>
      <c r="H17" s="10">
        <v>18.034374000000071</v>
      </c>
      <c r="I17" s="10">
        <v>22.98976900000002</v>
      </c>
      <c r="J17" s="10">
        <v>-17.002738999999959</v>
      </c>
      <c r="K17" s="10">
        <f>45.97899-G17</f>
        <v>44.971164999999978</v>
      </c>
      <c r="L17" s="10">
        <v>38.963706999999999</v>
      </c>
      <c r="M17" s="33">
        <v>1.0078250000000251</v>
      </c>
      <c r="N17" s="10">
        <v>18.034374000000071</v>
      </c>
      <c r="O17" s="10"/>
      <c r="P17" s="10"/>
      <c r="R17" s="10"/>
      <c r="S17" s="10"/>
    </row>
    <row r="18" spans="1:19" ht="15.75" thickBot="1" x14ac:dyDescent="0.3">
      <c r="E18" s="77"/>
      <c r="P18" s="79"/>
    </row>
    <row r="19" spans="1:19" x14ac:dyDescent="0.25">
      <c r="A19" s="51" t="s">
        <v>22</v>
      </c>
      <c r="B19" s="52"/>
      <c r="C19" s="52"/>
      <c r="D19" s="52"/>
      <c r="E19" s="53"/>
      <c r="F19" s="45"/>
      <c r="G19" s="54" t="s">
        <v>0</v>
      </c>
      <c r="H19" s="52"/>
      <c r="I19" s="52"/>
      <c r="J19" s="52"/>
      <c r="K19" s="52"/>
      <c r="L19" s="52"/>
      <c r="M19" s="52"/>
      <c r="N19" s="52"/>
      <c r="O19" s="52"/>
      <c r="P19" s="55"/>
    </row>
    <row r="20" spans="1:19" ht="30" x14ac:dyDescent="0.25">
      <c r="A20" s="1" t="s">
        <v>1</v>
      </c>
      <c r="B20" s="2" t="s">
        <v>2</v>
      </c>
      <c r="C20" s="4" t="s">
        <v>3</v>
      </c>
      <c r="D20" s="29" t="s">
        <v>4</v>
      </c>
      <c r="E20" s="3" t="s">
        <v>5</v>
      </c>
      <c r="F20" s="3" t="s">
        <v>65</v>
      </c>
      <c r="G20" s="3" t="s">
        <v>12</v>
      </c>
      <c r="H20" s="9" t="s">
        <v>13</v>
      </c>
      <c r="I20" s="9" t="s">
        <v>14</v>
      </c>
      <c r="J20" s="9" t="s">
        <v>15</v>
      </c>
      <c r="K20" s="9" t="s">
        <v>32</v>
      </c>
      <c r="L20" s="9" t="s">
        <v>16</v>
      </c>
      <c r="M20" s="9" t="s">
        <v>35</v>
      </c>
      <c r="N20" s="9" t="s">
        <v>37</v>
      </c>
      <c r="O20" s="9" t="s">
        <v>36</v>
      </c>
      <c r="P20" s="14" t="s">
        <v>11</v>
      </c>
    </row>
    <row r="21" spans="1:19" x14ac:dyDescent="0.25">
      <c r="A21" s="5" t="s">
        <v>23</v>
      </c>
      <c r="B21" s="59" t="s">
        <v>25</v>
      </c>
      <c r="C21" s="12">
        <v>528.39152899999999</v>
      </c>
      <c r="D21" s="60" t="s">
        <v>70</v>
      </c>
      <c r="E21" s="72" t="s">
        <v>17</v>
      </c>
      <c r="F21" s="72"/>
      <c r="G21" s="62">
        <f>$C21+G$35</f>
        <v>527.38480100000004</v>
      </c>
      <c r="H21" s="61">
        <f t="shared" ref="H21:L21" si="11">$C21+H$35</f>
        <v>573.39028100000007</v>
      </c>
      <c r="I21" s="62">
        <f t="shared" si="11"/>
        <v>509.37423700000005</v>
      </c>
      <c r="J21" s="62">
        <f t="shared" si="11"/>
        <v>563.36147900000003</v>
      </c>
      <c r="K21" s="62">
        <f t="shared" si="11"/>
        <v>595.37222500000007</v>
      </c>
      <c r="L21" s="63">
        <f t="shared" si="11"/>
        <v>513.36915099999999</v>
      </c>
      <c r="M21" s="62">
        <f>2*$C21+M$35</f>
        <v>1055.7763300000001</v>
      </c>
      <c r="N21" s="63">
        <f>2*$C21+N$35</f>
        <v>1101.7818100000002</v>
      </c>
      <c r="O21" s="63">
        <f>($C21+2*O$35)/2</f>
        <v>263.18903650000004</v>
      </c>
      <c r="P21" s="58"/>
      <c r="Q21" s="79" t="s">
        <v>68</v>
      </c>
    </row>
    <row r="22" spans="1:19" x14ac:dyDescent="0.25">
      <c r="A22" s="6" t="s">
        <v>46</v>
      </c>
      <c r="B22" s="65" t="s">
        <v>47</v>
      </c>
      <c r="C22" s="13">
        <v>462.34148199999998</v>
      </c>
      <c r="D22" s="66" t="s">
        <v>69</v>
      </c>
      <c r="E22" s="71" t="s">
        <v>12</v>
      </c>
      <c r="F22" s="71"/>
      <c r="G22" s="67">
        <f t="shared" ref="G22:L34" si="12">$C22+G$35</f>
        <v>461.33475400000003</v>
      </c>
      <c r="H22" s="68">
        <f t="shared" si="12"/>
        <v>507.34023400000007</v>
      </c>
      <c r="I22" s="68">
        <f t="shared" si="12"/>
        <v>443.32419000000004</v>
      </c>
      <c r="J22" s="68">
        <f t="shared" si="12"/>
        <v>497.31143199999997</v>
      </c>
      <c r="K22" s="69">
        <f t="shared" si="12"/>
        <v>529.32217800000012</v>
      </c>
      <c r="L22" s="68">
        <f t="shared" si="12"/>
        <v>447.31910400000004</v>
      </c>
      <c r="M22" s="69">
        <f t="shared" ref="M22:N34" si="13">2*$C22+M$35</f>
        <v>923.67623600000002</v>
      </c>
      <c r="N22" s="68">
        <f t="shared" si="13"/>
        <v>969.68171600000005</v>
      </c>
      <c r="O22" s="68">
        <f t="shared" ref="O22:O34" si="14">($C22+2*O$35)/2</f>
        <v>230.16401300000004</v>
      </c>
      <c r="P22" s="16"/>
      <c r="Q22" s="80"/>
    </row>
    <row r="23" spans="1:19" x14ac:dyDescent="0.25">
      <c r="A23" s="5" t="s">
        <v>24</v>
      </c>
      <c r="B23" s="59" t="s">
        <v>26</v>
      </c>
      <c r="C23" s="12">
        <v>363.33604800000001</v>
      </c>
      <c r="D23" s="60" t="s">
        <v>71</v>
      </c>
      <c r="E23" s="72" t="s">
        <v>17</v>
      </c>
      <c r="F23" s="72"/>
      <c r="G23" s="62">
        <f t="shared" si="12"/>
        <v>362.32932000000005</v>
      </c>
      <c r="H23" s="63">
        <f t="shared" si="12"/>
        <v>408.33480000000009</v>
      </c>
      <c r="I23" s="62">
        <f t="shared" si="12"/>
        <v>344.31875600000006</v>
      </c>
      <c r="J23" s="62">
        <f t="shared" si="12"/>
        <v>398.30599799999999</v>
      </c>
      <c r="K23" s="62">
        <f t="shared" si="12"/>
        <v>430.31674400000009</v>
      </c>
      <c r="L23" s="62">
        <f t="shared" si="12"/>
        <v>348.31367000000006</v>
      </c>
      <c r="M23" s="62">
        <f t="shared" si="13"/>
        <v>725.66536800000006</v>
      </c>
      <c r="N23" s="62">
        <f t="shared" si="13"/>
        <v>771.67084800000009</v>
      </c>
      <c r="O23" s="62">
        <f t="shared" si="14"/>
        <v>180.66129600000005</v>
      </c>
      <c r="P23" s="15"/>
      <c r="Q23" s="80"/>
    </row>
    <row r="24" spans="1:19" x14ac:dyDescent="0.25">
      <c r="A24" s="5" t="s">
        <v>48</v>
      </c>
      <c r="B24" s="59" t="s">
        <v>56</v>
      </c>
      <c r="C24" s="12">
        <v>315.32111200000003</v>
      </c>
      <c r="D24" s="60" t="s">
        <v>72</v>
      </c>
      <c r="E24" s="72" t="s">
        <v>12</v>
      </c>
      <c r="F24" s="72"/>
      <c r="G24" s="61">
        <f t="shared" si="12"/>
        <v>314.31438400000008</v>
      </c>
      <c r="H24" s="62">
        <f t="shared" si="12"/>
        <v>360.31986400000011</v>
      </c>
      <c r="I24" s="62">
        <f t="shared" si="12"/>
        <v>296.30382000000009</v>
      </c>
      <c r="J24" s="62">
        <f t="shared" si="12"/>
        <v>350.29106200000001</v>
      </c>
      <c r="K24" s="63">
        <f t="shared" si="12"/>
        <v>382.30180800000011</v>
      </c>
      <c r="L24" s="62">
        <f t="shared" si="12"/>
        <v>300.29873400000008</v>
      </c>
      <c r="M24" s="63">
        <f t="shared" si="13"/>
        <v>629.6354960000001</v>
      </c>
      <c r="N24" s="62">
        <f t="shared" si="13"/>
        <v>675.64097600000014</v>
      </c>
      <c r="O24" s="62">
        <f t="shared" si="14"/>
        <v>156.65382800000006</v>
      </c>
      <c r="P24" s="15"/>
      <c r="Q24" s="80"/>
    </row>
    <row r="25" spans="1:19" x14ac:dyDescent="0.25">
      <c r="A25" s="6" t="s">
        <v>29</v>
      </c>
      <c r="B25" s="65" t="s">
        <v>27</v>
      </c>
      <c r="C25" s="13">
        <v>741.55317400000001</v>
      </c>
      <c r="D25" s="66" t="s">
        <v>73</v>
      </c>
      <c r="E25" s="71" t="s">
        <v>12</v>
      </c>
      <c r="F25" s="71"/>
      <c r="G25" s="67">
        <f t="shared" si="12"/>
        <v>740.54644600000006</v>
      </c>
      <c r="H25" s="68">
        <f t="shared" si="12"/>
        <v>786.55192600000009</v>
      </c>
      <c r="I25" s="68">
        <f t="shared" si="12"/>
        <v>722.53588200000013</v>
      </c>
      <c r="J25" s="68">
        <f t="shared" si="12"/>
        <v>776.52312400000005</v>
      </c>
      <c r="K25" s="69">
        <f t="shared" si="12"/>
        <v>808.53387000000009</v>
      </c>
      <c r="L25" s="68">
        <f t="shared" si="12"/>
        <v>726.53079600000001</v>
      </c>
      <c r="M25" s="69">
        <f t="shared" si="13"/>
        <v>1482.0996200000002</v>
      </c>
      <c r="N25" s="68">
        <f t="shared" si="13"/>
        <v>1528.1051000000002</v>
      </c>
      <c r="O25" s="68">
        <f t="shared" si="14"/>
        <v>369.76985900000005</v>
      </c>
      <c r="P25" s="16"/>
      <c r="Q25" s="79" t="s">
        <v>68</v>
      </c>
      <c r="S25" s="10"/>
    </row>
    <row r="26" spans="1:19" x14ac:dyDescent="0.25">
      <c r="A26" s="5" t="s">
        <v>64</v>
      </c>
      <c r="B26" s="59" t="s">
        <v>77</v>
      </c>
      <c r="C26" s="12">
        <v>1454.0041590000001</v>
      </c>
      <c r="D26" s="60" t="s">
        <v>74</v>
      </c>
      <c r="E26" s="72" t="s">
        <v>12</v>
      </c>
      <c r="F26" s="72"/>
      <c r="G26" s="61">
        <f>$C26+G$35</f>
        <v>1452.9974310000002</v>
      </c>
      <c r="H26" s="62">
        <f>$C26+H$35</f>
        <v>1499.0029110000003</v>
      </c>
      <c r="I26" s="62">
        <f>$C26+I$35</f>
        <v>1434.9868670000001</v>
      </c>
      <c r="J26" s="62">
        <f t="shared" si="12"/>
        <v>1488.974109</v>
      </c>
      <c r="K26" s="62">
        <f t="shared" si="12"/>
        <v>1520.9848550000002</v>
      </c>
      <c r="L26" s="63">
        <f t="shared" si="12"/>
        <v>1438.9817810000002</v>
      </c>
      <c r="M26" s="62">
        <f t="shared" si="13"/>
        <v>2907.0015900000003</v>
      </c>
      <c r="N26" s="62">
        <f t="shared" si="13"/>
        <v>2953.0070700000001</v>
      </c>
      <c r="O26" s="63">
        <f t="shared" si="14"/>
        <v>725.99535150000008</v>
      </c>
      <c r="P26" s="15"/>
      <c r="Q26" s="81"/>
    </row>
    <row r="27" spans="1:19" x14ac:dyDescent="0.25">
      <c r="A27" s="6" t="s">
        <v>49</v>
      </c>
      <c r="B27" s="65" t="s">
        <v>57</v>
      </c>
      <c r="C27" s="13">
        <v>392.39197799999999</v>
      </c>
      <c r="D27" s="66"/>
      <c r="E27" s="71" t="s">
        <v>18</v>
      </c>
      <c r="F27" s="71"/>
      <c r="G27" s="68">
        <f t="shared" si="12"/>
        <v>391.38525000000004</v>
      </c>
      <c r="H27" s="68">
        <f t="shared" si="12"/>
        <v>437.39073000000008</v>
      </c>
      <c r="I27" s="68">
        <f t="shared" si="12"/>
        <v>373.37468600000005</v>
      </c>
      <c r="J27" s="68">
        <f t="shared" si="12"/>
        <v>427.36192799999998</v>
      </c>
      <c r="K27" s="68">
        <f t="shared" si="12"/>
        <v>459.37267400000007</v>
      </c>
      <c r="L27" s="68">
        <f t="shared" si="12"/>
        <v>377.36960000000005</v>
      </c>
      <c r="M27" s="68">
        <f t="shared" si="13"/>
        <v>783.77722800000004</v>
      </c>
      <c r="N27" s="68">
        <f t="shared" si="13"/>
        <v>829.78270800000007</v>
      </c>
      <c r="O27" s="68">
        <f t="shared" si="14"/>
        <v>195.18926100000004</v>
      </c>
      <c r="P27" s="16"/>
      <c r="Q27" s="80"/>
    </row>
    <row r="28" spans="1:19" x14ac:dyDescent="0.25">
      <c r="A28" s="5" t="s">
        <v>50</v>
      </c>
      <c r="B28" s="59" t="s">
        <v>58</v>
      </c>
      <c r="C28" s="12">
        <v>548.58368700000005</v>
      </c>
      <c r="D28" s="60" t="s">
        <v>78</v>
      </c>
      <c r="E28" s="72" t="s">
        <v>17</v>
      </c>
      <c r="F28" s="72"/>
      <c r="G28" s="63">
        <f t="shared" si="12"/>
        <v>547.5769590000001</v>
      </c>
      <c r="H28" s="61">
        <f t="shared" si="12"/>
        <v>593.58243900000014</v>
      </c>
      <c r="I28" s="62">
        <f t="shared" si="12"/>
        <v>529.56639500000006</v>
      </c>
      <c r="J28" s="63">
        <f t="shared" si="12"/>
        <v>583.55363700000009</v>
      </c>
      <c r="K28" s="62">
        <f t="shared" si="12"/>
        <v>615.56438300000013</v>
      </c>
      <c r="L28" s="62">
        <f t="shared" si="12"/>
        <v>533.56130900000005</v>
      </c>
      <c r="M28" s="62">
        <f t="shared" si="13"/>
        <v>1096.1606460000003</v>
      </c>
      <c r="N28" s="63">
        <f t="shared" si="13"/>
        <v>1142.1661260000003</v>
      </c>
      <c r="O28" s="62">
        <f t="shared" si="14"/>
        <v>273.28511550000007</v>
      </c>
      <c r="P28" s="15"/>
      <c r="Q28" s="80"/>
    </row>
    <row r="29" spans="1:19" x14ac:dyDescent="0.25">
      <c r="A29" s="6" t="s">
        <v>51</v>
      </c>
      <c r="B29" s="65" t="s">
        <v>59</v>
      </c>
      <c r="C29" s="13">
        <v>711.62351699999999</v>
      </c>
      <c r="D29" s="66" t="s">
        <v>81</v>
      </c>
      <c r="E29" s="71" t="s">
        <v>17</v>
      </c>
      <c r="F29" s="71"/>
      <c r="G29" s="68">
        <f t="shared" si="12"/>
        <v>710.61678900000004</v>
      </c>
      <c r="H29" s="67">
        <f t="shared" si="12"/>
        <v>756.62226900000007</v>
      </c>
      <c r="I29" s="68">
        <f t="shared" si="12"/>
        <v>692.60622499999999</v>
      </c>
      <c r="J29" s="69">
        <f t="shared" si="12"/>
        <v>746.59346700000003</v>
      </c>
      <c r="K29" s="68">
        <f t="shared" si="12"/>
        <v>778.60421300000007</v>
      </c>
      <c r="L29" s="68">
        <f t="shared" si="12"/>
        <v>696.60113899999999</v>
      </c>
      <c r="M29" s="68">
        <f t="shared" si="13"/>
        <v>1422.2403060000001</v>
      </c>
      <c r="N29" s="68">
        <f t="shared" si="13"/>
        <v>1468.2457860000002</v>
      </c>
      <c r="O29" s="68">
        <f t="shared" si="14"/>
        <v>354.80503050000004</v>
      </c>
      <c r="P29" s="16"/>
      <c r="Q29" s="79" t="s">
        <v>68</v>
      </c>
    </row>
    <row r="30" spans="1:19" x14ac:dyDescent="0.25">
      <c r="A30" s="5" t="s">
        <v>30</v>
      </c>
      <c r="B30" s="59" t="s">
        <v>28</v>
      </c>
      <c r="C30" s="12">
        <v>752.60554400000001</v>
      </c>
      <c r="D30" s="60" t="s">
        <v>82</v>
      </c>
      <c r="E30" s="72" t="s">
        <v>17</v>
      </c>
      <c r="F30" s="72"/>
      <c r="G30" s="62">
        <f t="shared" si="12"/>
        <v>751.59881600000006</v>
      </c>
      <c r="H30" s="61">
        <f t="shared" si="12"/>
        <v>797.60429600000009</v>
      </c>
      <c r="I30" s="62">
        <f t="shared" si="12"/>
        <v>733.58825200000001</v>
      </c>
      <c r="J30" s="63">
        <f t="shared" si="12"/>
        <v>787.57549400000005</v>
      </c>
      <c r="K30" s="62">
        <f t="shared" si="12"/>
        <v>819.58624000000009</v>
      </c>
      <c r="L30" s="62">
        <f t="shared" si="12"/>
        <v>737.58316600000001</v>
      </c>
      <c r="M30" s="62">
        <f t="shared" si="13"/>
        <v>1504.2043600000002</v>
      </c>
      <c r="N30" s="62">
        <f t="shared" si="13"/>
        <v>1550.2098400000002</v>
      </c>
      <c r="O30" s="62">
        <f t="shared" si="14"/>
        <v>375.29604400000005</v>
      </c>
      <c r="P30" s="15"/>
      <c r="Q30" s="80"/>
    </row>
    <row r="31" spans="1:19" x14ac:dyDescent="0.25">
      <c r="A31" s="6" t="s">
        <v>52</v>
      </c>
      <c r="B31" s="65" t="s">
        <v>60</v>
      </c>
      <c r="C31" s="13">
        <v>700.571147</v>
      </c>
      <c r="D31" s="66" t="s">
        <v>83</v>
      </c>
      <c r="E31" s="71" t="s">
        <v>12</v>
      </c>
      <c r="F31" s="71"/>
      <c r="G31" s="67">
        <f t="shared" si="12"/>
        <v>699.56441900000004</v>
      </c>
      <c r="H31" s="68">
        <f t="shared" si="12"/>
        <v>745.56989900000008</v>
      </c>
      <c r="I31" s="68">
        <f t="shared" si="12"/>
        <v>681.55385500000011</v>
      </c>
      <c r="J31" s="68">
        <f t="shared" si="12"/>
        <v>735.54109700000004</v>
      </c>
      <c r="K31" s="69">
        <f t="shared" si="12"/>
        <v>767.55184300000008</v>
      </c>
      <c r="L31" s="68">
        <f t="shared" si="12"/>
        <v>685.54876899999999</v>
      </c>
      <c r="M31" s="69">
        <f t="shared" si="13"/>
        <v>1400.1355660000002</v>
      </c>
      <c r="N31" s="68">
        <f t="shared" si="13"/>
        <v>1446.1410460000002</v>
      </c>
      <c r="O31" s="68">
        <f t="shared" si="14"/>
        <v>349.27884550000005</v>
      </c>
      <c r="P31" s="16"/>
      <c r="Q31" s="80"/>
    </row>
    <row r="32" spans="1:19" x14ac:dyDescent="0.25">
      <c r="A32" s="5" t="s">
        <v>53</v>
      </c>
      <c r="B32" s="59" t="s">
        <v>61</v>
      </c>
      <c r="C32" s="12">
        <v>577.56161699999996</v>
      </c>
      <c r="D32" s="60" t="s">
        <v>84</v>
      </c>
      <c r="E32" s="72" t="s">
        <v>17</v>
      </c>
      <c r="F32" s="72"/>
      <c r="G32" s="62">
        <f t="shared" si="12"/>
        <v>576.554889</v>
      </c>
      <c r="H32" s="61">
        <f t="shared" si="12"/>
        <v>622.56036900000004</v>
      </c>
      <c r="I32" s="62">
        <f t="shared" si="12"/>
        <v>558.54432500000007</v>
      </c>
      <c r="J32" s="62">
        <f t="shared" si="12"/>
        <v>612.531567</v>
      </c>
      <c r="K32" s="62">
        <f t="shared" si="12"/>
        <v>644.54231300000004</v>
      </c>
      <c r="L32" s="62">
        <f t="shared" si="12"/>
        <v>562.53923899999995</v>
      </c>
      <c r="M32" s="62">
        <f t="shared" si="13"/>
        <v>1154.1165060000001</v>
      </c>
      <c r="N32" s="62">
        <f t="shared" si="13"/>
        <v>1200.1219860000001</v>
      </c>
      <c r="O32" s="62">
        <f t="shared" si="14"/>
        <v>287.77408050000003</v>
      </c>
      <c r="P32" s="15"/>
      <c r="Q32" s="80"/>
    </row>
    <row r="33" spans="1:17" x14ac:dyDescent="0.25">
      <c r="A33" s="6" t="s">
        <v>54</v>
      </c>
      <c r="B33" s="65" t="s">
        <v>62</v>
      </c>
      <c r="C33" s="13">
        <v>815.792283</v>
      </c>
      <c r="D33" s="66"/>
      <c r="E33" s="71" t="s">
        <v>18</v>
      </c>
      <c r="F33" s="71"/>
      <c r="G33" s="68">
        <f t="shared" si="12"/>
        <v>814.78555500000004</v>
      </c>
      <c r="H33" s="68">
        <f t="shared" si="12"/>
        <v>860.79103500000008</v>
      </c>
      <c r="I33" s="68">
        <f t="shared" si="12"/>
        <v>796.774991</v>
      </c>
      <c r="J33" s="68">
        <f t="shared" si="12"/>
        <v>850.76223300000004</v>
      </c>
      <c r="K33" s="68">
        <f t="shared" si="12"/>
        <v>882.77297900000008</v>
      </c>
      <c r="L33" s="68">
        <f t="shared" si="12"/>
        <v>800.76990499999999</v>
      </c>
      <c r="M33" s="68">
        <f t="shared" si="13"/>
        <v>1630.5778380000002</v>
      </c>
      <c r="N33" s="68">
        <f t="shared" si="13"/>
        <v>1676.5833180000002</v>
      </c>
      <c r="O33" s="68">
        <f t="shared" si="14"/>
        <v>406.88941350000005</v>
      </c>
      <c r="P33" s="16"/>
      <c r="Q33" s="80"/>
    </row>
    <row r="34" spans="1:17" ht="15.75" thickBot="1" x14ac:dyDescent="0.3">
      <c r="A34" s="7" t="s">
        <v>55</v>
      </c>
      <c r="B34" s="8" t="s">
        <v>63</v>
      </c>
      <c r="C34" s="17">
        <v>631.62792000000002</v>
      </c>
      <c r="D34" s="32"/>
      <c r="E34" s="76" t="s">
        <v>18</v>
      </c>
      <c r="F34" s="76"/>
      <c r="G34" s="18">
        <f t="shared" si="12"/>
        <v>630.62119200000006</v>
      </c>
      <c r="H34" s="18">
        <f t="shared" si="12"/>
        <v>676.6266720000001</v>
      </c>
      <c r="I34" s="18">
        <f t="shared" si="12"/>
        <v>612.61062800000013</v>
      </c>
      <c r="J34" s="18">
        <f t="shared" si="12"/>
        <v>666.59787000000006</v>
      </c>
      <c r="K34" s="18">
        <f t="shared" si="12"/>
        <v>698.6086160000001</v>
      </c>
      <c r="L34" s="18">
        <f t="shared" si="12"/>
        <v>616.60554200000001</v>
      </c>
      <c r="M34" s="18">
        <f t="shared" si="13"/>
        <v>1262.2491120000002</v>
      </c>
      <c r="N34" s="18">
        <f t="shared" si="13"/>
        <v>1308.2545920000002</v>
      </c>
      <c r="O34" s="18">
        <f t="shared" si="14"/>
        <v>314.80723200000006</v>
      </c>
      <c r="P34" s="19"/>
      <c r="Q34" s="80"/>
    </row>
    <row r="35" spans="1:17" x14ac:dyDescent="0.25">
      <c r="E35" s="77"/>
      <c r="G35" s="33">
        <v>-1.0067279999999501</v>
      </c>
      <c r="H35" s="10">
        <v>44.998752000000103</v>
      </c>
      <c r="I35" s="10">
        <v>-19.017291999999941</v>
      </c>
      <c r="J35" s="10">
        <v>34.969949999999997</v>
      </c>
      <c r="K35" s="10">
        <v>66.980696000000094</v>
      </c>
      <c r="L35" s="10">
        <v>-15.02237799999995</v>
      </c>
      <c r="M35" s="33">
        <v>-1.0067279999999501</v>
      </c>
      <c r="N35" s="10">
        <v>44.998752000000103</v>
      </c>
      <c r="O35" s="33">
        <v>-1.0067279999999501</v>
      </c>
      <c r="P35" s="82"/>
    </row>
    <row r="36" spans="1:17" x14ac:dyDescent="0.25">
      <c r="P36" s="79"/>
    </row>
    <row r="37" spans="1:17" ht="23.25" x14ac:dyDescent="0.35">
      <c r="A37" s="22" t="s">
        <v>19</v>
      </c>
      <c r="G37" s="10"/>
      <c r="P37" s="79"/>
    </row>
    <row r="38" spans="1:17" ht="23.25" x14ac:dyDescent="0.35">
      <c r="A38" s="23" t="s">
        <v>20</v>
      </c>
    </row>
    <row r="40" spans="1:17" x14ac:dyDescent="0.25">
      <c r="A40" t="s">
        <v>76</v>
      </c>
    </row>
    <row r="82" spans="1:15" ht="15.75" customHeight="1" x14ac:dyDescent="0.25"/>
    <row r="83" spans="1:15" hidden="1" x14ac:dyDescent="0.25"/>
    <row r="84" spans="1:15" ht="15.75" customHeight="1" x14ac:dyDescent="0.25"/>
    <row r="85" spans="1:15" x14ac:dyDescent="0.25">
      <c r="A85" s="46"/>
      <c r="B85" s="46"/>
      <c r="C85" s="46"/>
      <c r="D85" s="48"/>
      <c r="E85" s="46"/>
      <c r="G85" s="46"/>
      <c r="H85" s="47"/>
      <c r="I85" s="47"/>
      <c r="J85" s="47"/>
      <c r="K85" s="47"/>
      <c r="L85" s="47"/>
      <c r="M85" s="47"/>
      <c r="N85" s="47"/>
      <c r="O85" s="46"/>
    </row>
    <row r="86" spans="1:15" ht="30" customHeight="1" x14ac:dyDescent="0.25"/>
    <row r="168" ht="15.75" customHeight="1" x14ac:dyDescent="0.25"/>
    <row r="169" hidden="1" x14ac:dyDescent="0.25"/>
    <row r="171" ht="23.25" customHeight="1" x14ac:dyDescent="0.25"/>
    <row r="172" ht="23.25" customHeight="1" x14ac:dyDescent="0.25"/>
  </sheetData>
  <mergeCells count="6">
    <mergeCell ref="G85:O85"/>
    <mergeCell ref="A85:E85"/>
    <mergeCell ref="A1:E1"/>
    <mergeCell ref="A19:E19"/>
    <mergeCell ref="G1:R1"/>
    <mergeCell ref="G19:P19"/>
  </mergeCells>
  <pageMargins left="0.25" right="0.25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mz for main ion</vt:lpstr>
      <vt:lpstr>All 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Zardini Buzatto</dc:creator>
  <cp:lastModifiedBy>Adriana Zardini Buzatto</cp:lastModifiedBy>
  <cp:lastPrinted>2022-02-15T17:13:12Z</cp:lastPrinted>
  <dcterms:created xsi:type="dcterms:W3CDTF">2022-02-11T19:05:21Z</dcterms:created>
  <dcterms:modified xsi:type="dcterms:W3CDTF">2026-02-20T23:44:55Z</dcterms:modified>
</cp:coreProperties>
</file>