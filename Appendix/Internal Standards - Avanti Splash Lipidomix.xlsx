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c-my.sharepoint.com/personal/adriana_zardinibuzat_ucalgary_ca/Documents/LipidQuest/MetaboScape LipidQuest/260221/Appendix/"/>
    </mc:Choice>
  </mc:AlternateContent>
  <xr:revisionPtr revIDLastSave="1178" documentId="8_{DBA5D96A-269F-4860-8C1D-BAFFD9162C84}" xr6:coauthVersionLast="47" xr6:coauthVersionMax="47" xr10:uidLastSave="{84A773A0-E9F9-47A2-9B5D-AB8A11E2920C}"/>
  <bookViews>
    <workbookView xWindow="-28920" yWindow="5145" windowWidth="29040" windowHeight="15840" xr2:uid="{00000000-000D-0000-FFFF-FFFF00000000}"/>
  </bookViews>
  <sheets>
    <sheet name="mz for main ion" sheetId="2" r:id="rId1"/>
    <sheet name="All ions" sheetId="1" r:id="rId2"/>
    <sheet name="MSMS" sheetId="3" r:id="rId3"/>
  </sheets>
  <definedNames>
    <definedName name="_xlnm._FilterDatabase" localSheetId="0" hidden="1">'mz for main ion'!$A$1:$L$1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  <c r="F3" i="2"/>
  <c r="F4" i="2"/>
  <c r="F5" i="2"/>
  <c r="F6" i="2"/>
  <c r="F7" i="2"/>
  <c r="F8" i="2"/>
  <c r="F9" i="2"/>
  <c r="F10" i="2"/>
  <c r="F12" i="2"/>
  <c r="F13" i="2"/>
  <c r="F14" i="2"/>
  <c r="F15" i="2"/>
  <c r="F2" i="2"/>
  <c r="N4" i="1"/>
  <c r="N5" i="1"/>
  <c r="N9" i="1"/>
  <c r="N14" i="1"/>
  <c r="N16" i="1"/>
  <c r="N3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21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3" i="1"/>
</calcChain>
</file>

<file path=xl/sharedStrings.xml><?xml version="1.0" encoding="utf-8"?>
<sst xmlns="http://schemas.openxmlformats.org/spreadsheetml/2006/main" count="354" uniqueCount="97">
  <si>
    <t>m/z</t>
  </si>
  <si>
    <t>Standard</t>
  </si>
  <si>
    <t>Formula</t>
  </si>
  <si>
    <t>Exact mass</t>
  </si>
  <si>
    <t>Expected retention time (±0.7 min)</t>
  </si>
  <si>
    <t>Most intense ion</t>
  </si>
  <si>
    <t>[M+H]+</t>
  </si>
  <si>
    <t>[M+NH4]+</t>
  </si>
  <si>
    <t>[M+Na]+</t>
  </si>
  <si>
    <t>[M-OH]+</t>
  </si>
  <si>
    <t>[M+K]+</t>
  </si>
  <si>
    <t>Other</t>
  </si>
  <si>
    <t>[M+Na]+ or [M+H]+</t>
  </si>
  <si>
    <t>[M+H]+ or [M+NH4]+</t>
  </si>
  <si>
    <t>[M+H-H2O]+</t>
  </si>
  <si>
    <t>[M+H]+ or [M+H-H2O]+</t>
  </si>
  <si>
    <t>[M-H]-</t>
  </si>
  <si>
    <t>[M+HCOO]-</t>
  </si>
  <si>
    <t>[M-H3O]-</t>
  </si>
  <si>
    <t>[M+Cl]-</t>
  </si>
  <si>
    <t>[M-CH3]-</t>
  </si>
  <si>
    <t>[M+formate]-</t>
  </si>
  <si>
    <t>382.268758  ([M-2H]2-)</t>
  </si>
  <si>
    <t>Not detected</t>
  </si>
  <si>
    <t>[M+formate]- or [M+Cl]-</t>
  </si>
  <si>
    <t>*green: most intense ion</t>
  </si>
  <si>
    <t>*red: other detected ions (but not the most intense one)</t>
  </si>
  <si>
    <t>Positive ionization</t>
  </si>
  <si>
    <t>Negative ionization</t>
  </si>
  <si>
    <t>[D7]LPC 18:1</t>
  </si>
  <si>
    <t>[D7]LPE 18:1</t>
  </si>
  <si>
    <t>[D7]MG 18:1</t>
  </si>
  <si>
    <t>C26H45D7NO7P</t>
  </si>
  <si>
    <t>C23H39D7NO7P</t>
  </si>
  <si>
    <t>C21H33D7O4</t>
  </si>
  <si>
    <t>C42H72D7O13P</t>
  </si>
  <si>
    <t>C27H39D7O</t>
  </si>
  <si>
    <t>C39H68D7O10P</t>
  </si>
  <si>
    <t>C39H67D7NO10P</t>
  </si>
  <si>
    <t>C36H62D7O8P</t>
  </si>
  <si>
    <t>C41H72D9N2O6P</t>
  </si>
  <si>
    <t>C41H73D7NO8P</t>
  </si>
  <si>
    <t>C38H67D7NO8P</t>
  </si>
  <si>
    <t>C36H61D7O5</t>
  </si>
  <si>
    <t>C51H89D7O6</t>
  </si>
  <si>
    <t>C45H71D7O2</t>
  </si>
  <si>
    <t>[D7]ST 27:1;O (Cholesterol-d7)</t>
  </si>
  <si>
    <t>[D7]CE 18:1</t>
  </si>
  <si>
    <t>[D9]SM 18:0;O2/18:1</t>
  </si>
  <si>
    <t>[D7]PI 15:0_18:1</t>
  </si>
  <si>
    <t>[D7]PG 15:0_18:1</t>
  </si>
  <si>
    <t>[D7]PS 15:0_18:1</t>
  </si>
  <si>
    <t>[D7]PA 15:0_18:1</t>
  </si>
  <si>
    <t>[D7]PC 15:0_18:1</t>
  </si>
  <si>
    <t>[D7]PE 15:0_18:1</t>
  </si>
  <si>
    <t>[D7]DG 15:0_18:1</t>
  </si>
  <si>
    <t>[D7]TG 15:0_18:1_15:0</t>
  </si>
  <si>
    <t>[M+2Na-H]+</t>
  </si>
  <si>
    <t>[M+Na+COO-]-</t>
  </si>
  <si>
    <t>5.5-6.9</t>
  </si>
  <si>
    <t>6.8-8.9</t>
  </si>
  <si>
    <t>3.1-3.8</t>
  </si>
  <si>
    <t>4.5-7.6</t>
  </si>
  <si>
    <t>MS/MS</t>
  </si>
  <si>
    <t>Fragments</t>
  </si>
  <si>
    <t>1.8-2.9</t>
  </si>
  <si>
    <t>5.5-6.7</t>
  </si>
  <si>
    <t>5.4-7.0</t>
  </si>
  <si>
    <t>5.9-7.9</t>
  </si>
  <si>
    <t>6.3-8.0</t>
  </si>
  <si>
    <t>6.3-8.6</t>
  </si>
  <si>
    <t>9.0-11.3</t>
  </si>
  <si>
    <t>13.3-14.4</t>
  </si>
  <si>
    <t>14.0-15.1</t>
  </si>
  <si>
    <t>[2M+H]+</t>
  </si>
  <si>
    <t>[2M+NH4]+</t>
  </si>
  <si>
    <t>[2M-H]-</t>
  </si>
  <si>
    <t>[M-2H]2-</t>
  </si>
  <si>
    <t>[2M+HCOO]-</t>
  </si>
  <si>
    <t>[3M+NH4]+</t>
  </si>
  <si>
    <t>1.9-2.5</t>
  </si>
  <si>
    <t>2.9-3.4</t>
  </si>
  <si>
    <t>5.3-6.0</t>
  </si>
  <si>
    <t>5.4-6.1</t>
  </si>
  <si>
    <t>6.2-7.6</t>
  </si>
  <si>
    <t>6.4-7.2</t>
  </si>
  <si>
    <t>6.6-7.8</t>
  </si>
  <si>
    <t>6.8-7.8</t>
  </si>
  <si>
    <t>8.6-10.2</t>
  </si>
  <si>
    <t>14.0-15.0</t>
  </si>
  <si>
    <t>main ion Pos</t>
  </si>
  <si>
    <t>main ion Neg</t>
  </si>
  <si>
    <t>Concentration (stock, µg/mL)</t>
  </si>
  <si>
    <t>Concentration (stock, umol/L)</t>
  </si>
  <si>
    <t>Molar mass (g/mol)</t>
  </si>
  <si>
    <t>m/z Pos (main ion)</t>
  </si>
  <si>
    <t>m/z Neg (main 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</si>
</sst>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00"/>
    <numFmt numFmtId="167" formatCode="0.00000000000000"/>
  </numFmts>
  <fonts count="2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B05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4"/>
      <name val="Calibri"/>
      <family val="2"/>
    </font>
    <font>
      <sz val="11"/>
      <color rgb="FFC0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7"/>
      <name val="Calibri"/>
      <family val="2"/>
    </font>
    <font>
      <sz val="11"/>
      <color theme="6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00B0F0"/>
      <name val="Calibri"/>
      <family val="2"/>
    </font>
    <font>
      <sz val="11"/>
      <color rgb="FF00B0F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66" fontId="1" fillId="2" borderId="5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7" fontId="0" fillId="0" borderId="0" xfId="0" applyNumberFormat="1"/>
    <xf numFmtId="166" fontId="2" fillId="3" borderId="8" xfId="0" applyNumberFormat="1" applyFont="1" applyFill="1" applyBorder="1" applyAlignment="1">
      <alignment horizontal="center" vertical="center"/>
    </xf>
    <xf numFmtId="166" fontId="2" fillId="4" borderId="8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166" fontId="1" fillId="2" borderId="16" xfId="0" applyNumberFormat="1" applyFont="1" applyFill="1" applyBorder="1" applyAlignment="1">
      <alignment horizontal="center" vertical="center" wrapText="1"/>
    </xf>
    <xf numFmtId="166" fontId="2" fillId="3" borderId="17" xfId="0" applyNumberFormat="1" applyFont="1" applyFill="1" applyBorder="1" applyAlignment="1">
      <alignment horizontal="center" vertical="center"/>
    </xf>
    <xf numFmtId="166" fontId="2" fillId="4" borderId="17" xfId="0" applyNumberFormat="1" applyFont="1" applyFill="1" applyBorder="1" applyAlignment="1">
      <alignment horizontal="center" vertical="center"/>
    </xf>
    <xf numFmtId="166" fontId="4" fillId="3" borderId="17" xfId="0" applyNumberFormat="1" applyFont="1" applyFill="1" applyBorder="1" applyAlignment="1">
      <alignment horizontal="center" vertical="center" wrapText="1"/>
    </xf>
    <xf numFmtId="166" fontId="2" fillId="3" borderId="11" xfId="0" applyNumberFormat="1" applyFont="1" applyFill="1" applyBorder="1" applyAlignment="1">
      <alignment horizontal="center" vertical="center"/>
    </xf>
    <xf numFmtId="166" fontId="2" fillId="3" borderId="10" xfId="0" applyNumberFormat="1" applyFont="1" applyFill="1" applyBorder="1" applyAlignment="1">
      <alignment horizontal="center" vertical="center"/>
    </xf>
    <xf numFmtId="166" fontId="2" fillId="3" borderId="19" xfId="0" applyNumberFormat="1" applyFont="1" applyFill="1" applyBorder="1" applyAlignment="1">
      <alignment horizontal="center" vertical="center"/>
    </xf>
    <xf numFmtId="166" fontId="4" fillId="3" borderId="10" xfId="0" applyNumberFormat="1" applyFont="1" applyFill="1" applyBorder="1" applyAlignment="1">
      <alignment horizontal="center" vertical="center"/>
    </xf>
    <xf numFmtId="166" fontId="3" fillId="3" borderId="10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2" fillId="3" borderId="0" xfId="0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/>
    </xf>
    <xf numFmtId="166" fontId="4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  <xf numFmtId="166" fontId="2" fillId="4" borderId="0" xfId="0" applyNumberFormat="1" applyFont="1" applyFill="1" applyAlignment="1">
      <alignment horizontal="center" vertical="center"/>
    </xf>
    <xf numFmtId="166" fontId="4" fillId="4" borderId="0" xfId="0" applyNumberFormat="1" applyFont="1" applyFill="1" applyAlignment="1">
      <alignment horizontal="center" vertical="center"/>
    </xf>
    <xf numFmtId="164" fontId="0" fillId="0" borderId="0" xfId="0" applyNumberFormat="1"/>
    <xf numFmtId="164" fontId="1" fillId="2" borderId="5" xfId="0" applyNumberFormat="1" applyFont="1" applyFill="1" applyBorder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/>
    </xf>
    <xf numFmtId="165" fontId="2" fillId="3" borderId="14" xfId="0" applyNumberFormat="1" applyFont="1" applyFill="1" applyBorder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165" fontId="2" fillId="4" borderId="14" xfId="0" applyNumberFormat="1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center" vertical="center"/>
    </xf>
    <xf numFmtId="165" fontId="2" fillId="3" borderId="18" xfId="0" applyNumberFormat="1" applyFont="1" applyFill="1" applyBorder="1" applyAlignment="1">
      <alignment horizontal="center" vertical="center"/>
    </xf>
    <xf numFmtId="165" fontId="0" fillId="0" borderId="0" xfId="0" applyNumberFormat="1"/>
    <xf numFmtId="166" fontId="2" fillId="3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6" fontId="1" fillId="2" borderId="0" xfId="0" applyNumberFormat="1" applyFont="1" applyFill="1" applyAlignment="1">
      <alignment horizontal="left" vertical="center" wrapText="1"/>
    </xf>
    <xf numFmtId="165" fontId="2" fillId="3" borderId="0" xfId="0" applyNumberFormat="1" applyFont="1" applyFill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5" fontId="2" fillId="4" borderId="0" xfId="0" applyNumberFormat="1" applyFont="1" applyFill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5" fontId="9" fillId="0" borderId="0" xfId="0" applyNumberFormat="1" applyFont="1" applyAlignment="1">
      <alignment horizontal="left" vertical="center"/>
    </xf>
    <xf numFmtId="165" fontId="10" fillId="0" borderId="0" xfId="0" applyNumberFormat="1" applyFont="1" applyAlignment="1">
      <alignment horizontal="left" vertical="center"/>
    </xf>
    <xf numFmtId="165" fontId="11" fillId="3" borderId="0" xfId="0" applyNumberFormat="1" applyFont="1" applyFill="1" applyAlignment="1">
      <alignment horizontal="left" vertical="center"/>
    </xf>
    <xf numFmtId="165" fontId="12" fillId="0" borderId="0" xfId="0" applyNumberFormat="1" applyFont="1" applyAlignment="1">
      <alignment horizontal="left" vertical="center"/>
    </xf>
    <xf numFmtId="165" fontId="13" fillId="0" borderId="0" xfId="0" applyNumberFormat="1" applyFont="1" applyAlignment="1">
      <alignment horizontal="left" vertical="center"/>
    </xf>
    <xf numFmtId="165" fontId="14" fillId="0" borderId="0" xfId="0" applyNumberFormat="1" applyFont="1" applyAlignment="1">
      <alignment horizontal="left" vertical="center"/>
    </xf>
    <xf numFmtId="165" fontId="15" fillId="3" borderId="0" xfId="0" applyNumberFormat="1" applyFont="1" applyFill="1" applyAlignment="1">
      <alignment horizontal="left" vertical="center"/>
    </xf>
    <xf numFmtId="165" fontId="16" fillId="0" borderId="0" xfId="0" applyNumberFormat="1" applyFont="1" applyAlignment="1">
      <alignment horizontal="left" vertical="center"/>
    </xf>
    <xf numFmtId="165" fontId="17" fillId="0" borderId="0" xfId="0" applyNumberFormat="1" applyFont="1" applyAlignment="1">
      <alignment horizontal="left" vertical="center"/>
    </xf>
    <xf numFmtId="165" fontId="18" fillId="0" borderId="0" xfId="0" applyNumberFormat="1" applyFont="1" applyAlignment="1">
      <alignment horizontal="left" vertical="center"/>
    </xf>
    <xf numFmtId="165" fontId="19" fillId="3" borderId="0" xfId="0" applyNumberFormat="1" applyFont="1" applyFill="1" applyAlignment="1">
      <alignment horizontal="left" vertical="center"/>
    </xf>
    <xf numFmtId="165" fontId="21" fillId="0" borderId="0" xfId="0" applyNumberFormat="1" applyFont="1" applyAlignment="1">
      <alignment horizontal="left" vertical="center"/>
    </xf>
    <xf numFmtId="165" fontId="22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0" borderId="0" xfId="0" applyFont="1"/>
    <xf numFmtId="165" fontId="0" fillId="3" borderId="0" xfId="0" applyNumberFormat="1" applyFill="1" applyAlignment="1">
      <alignment horizontal="left" vertical="center"/>
    </xf>
    <xf numFmtId="0" fontId="0" fillId="3" borderId="0" xfId="0" applyFill="1"/>
    <xf numFmtId="165" fontId="9" fillId="3" borderId="0" xfId="0" applyNumberFormat="1" applyFont="1" applyFill="1" applyAlignment="1">
      <alignment horizontal="left" vertical="center"/>
    </xf>
    <xf numFmtId="165" fontId="12" fillId="3" borderId="0" xfId="0" applyNumberFormat="1" applyFont="1" applyFill="1" applyAlignment="1">
      <alignment horizontal="left" vertical="center"/>
    </xf>
    <xf numFmtId="165" fontId="10" fillId="3" borderId="0" xfId="0" applyNumberFormat="1" applyFont="1" applyFill="1" applyAlignment="1">
      <alignment horizontal="left" vertical="center"/>
    </xf>
    <xf numFmtId="165" fontId="21" fillId="3" borderId="0" xfId="0" applyNumberFormat="1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165" fontId="13" fillId="3" borderId="0" xfId="0" applyNumberFormat="1" applyFont="1" applyFill="1" applyAlignment="1">
      <alignment horizontal="left" vertical="center"/>
    </xf>
    <xf numFmtId="165" fontId="16" fillId="3" borderId="0" xfId="0" applyNumberFormat="1" applyFont="1" applyFill="1" applyAlignment="1">
      <alignment horizontal="left" vertical="center"/>
    </xf>
    <xf numFmtId="165" fontId="17" fillId="3" borderId="0" xfId="0" applyNumberFormat="1" applyFont="1" applyFill="1" applyAlignment="1">
      <alignment horizontal="left" vertical="center"/>
    </xf>
    <xf numFmtId="0" fontId="22" fillId="3" borderId="0" xfId="0" applyFont="1" applyFill="1"/>
    <xf numFmtId="165" fontId="14" fillId="3" borderId="0" xfId="0" applyNumberFormat="1" applyFont="1" applyFill="1" applyAlignment="1">
      <alignment horizontal="left" vertical="center"/>
    </xf>
    <xf numFmtId="165" fontId="18" fillId="3" borderId="0" xfId="0" applyNumberFormat="1" applyFont="1" applyFill="1" applyAlignment="1">
      <alignment horizontal="left" vertical="center"/>
    </xf>
    <xf numFmtId="0" fontId="20" fillId="3" borderId="0" xfId="0" applyFont="1" applyFill="1" applyAlignment="1">
      <alignment horizontal="left" vertical="center"/>
    </xf>
    <xf numFmtId="165" fontId="22" fillId="3" borderId="0" xfId="0" applyNumberFormat="1" applyFont="1" applyFill="1" applyAlignment="1">
      <alignment horizontal="left" vertical="center"/>
    </xf>
    <xf numFmtId="165" fontId="23" fillId="3" borderId="0" xfId="0" applyNumberFormat="1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24" fillId="3" borderId="0" xfId="0" applyFont="1" applyFill="1"/>
    <xf numFmtId="166" fontId="25" fillId="3" borderId="0" xfId="0" applyNumberFormat="1" applyFont="1" applyFill="1" applyAlignment="1">
      <alignment horizontal="center" vertical="center"/>
    </xf>
    <xf numFmtId="166" fontId="25" fillId="4" borderId="0" xfId="0" applyNumberFormat="1" applyFont="1" applyFill="1" applyAlignment="1">
      <alignment horizontal="center" vertical="center"/>
    </xf>
    <xf numFmtId="166" fontId="25" fillId="3" borderId="10" xfId="0" applyNumberFormat="1" applyFont="1" applyFill="1" applyBorder="1" applyAlignment="1">
      <alignment horizontal="center" vertical="center"/>
    </xf>
    <xf numFmtId="166" fontId="25" fillId="3" borderId="17" xfId="0" applyNumberFormat="1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/>
    </xf>
    <xf numFmtId="166" fontId="2" fillId="3" borderId="25" xfId="0" applyNumberFormat="1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166" fontId="2" fillId="4" borderId="24" xfId="0" applyNumberFormat="1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 wrapText="1"/>
    </xf>
    <xf numFmtId="2" fontId="2" fillId="3" borderId="25" xfId="0" applyNumberFormat="1" applyFont="1" applyFill="1" applyBorder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2" fontId="2" fillId="4" borderId="24" xfId="0" applyNumberFormat="1" applyFont="1" applyFill="1" applyBorder="1" applyAlignment="1">
      <alignment horizontal="center" vertical="center"/>
    </xf>
    <xf numFmtId="165" fontId="1" fillId="2" borderId="23" xfId="0" applyNumberFormat="1" applyFont="1" applyFill="1" applyBorder="1" applyAlignment="1">
      <alignment horizontal="center" vertical="center" wrapText="1"/>
    </xf>
    <xf numFmtId="165" fontId="2" fillId="3" borderId="25" xfId="0" applyNumberFormat="1" applyFont="1" applyFill="1" applyBorder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165" fontId="2" fillId="4" borderId="24" xfId="0" applyNumberFormat="1" applyFont="1" applyFill="1" applyBorder="1" applyAlignment="1">
      <alignment horizontal="center" vertical="center"/>
    </xf>
    <xf numFmtId="0" fontId="26" fillId="0" borderId="23" xfId="0" applyFont="1" applyBorder="1" applyAlignment="1">
      <alignment horizontal="center" vertical="center" wrapText="1"/>
    </xf>
    <xf numFmtId="0" fontId="0" fillId="0" borderId="0" xfId="0"/>
    <xf numFmtId="166" fontId="0" fillId="0" borderId="0" xfId="0" applyNumberFormat="1"/>
    <xf numFmtId="164" fontId="0" fillId="0" borderId="0" xfId="0" applyNumberFormat="1"/>
    <xf numFmtId="0" fontId="1" fillId="2" borderId="20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5" xfId="0" applyBorder="1"/>
    <xf numFmtId="0" fontId="1" fillId="2" borderId="21" xfId="0" applyFont="1" applyFill="1" applyBorder="1" applyAlignment="1">
      <alignment horizontal="center" vertical="center" wrapText="1"/>
    </xf>
    <xf numFmtId="0" fontId="0" fillId="0" borderId="12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zoomScale="70" zoomScaleNormal="70" workbookViewId="0">
      <selection activeCell="L16" sqref="L16"/>
    </sheetView>
  </sheetViews>
  <sheetFormatPr defaultRowHeight="15" x14ac:dyDescent="0.25"/>
  <cols>
    <col min="1" max="1" width="30.7109375" bestFit="1" customWidth="1"/>
    <col min="2" max="2" width="30.7109375" customWidth="1"/>
    <col min="3" max="3" width="23" style="42" bestFit="1" customWidth="1"/>
    <col min="4" max="4" width="14.42578125" bestFit="1" customWidth="1"/>
    <col min="5" max="5" width="27.140625" bestFit="1" customWidth="1"/>
    <col min="6" max="6" width="27.85546875" bestFit="1" customWidth="1"/>
    <col min="7" max="7" width="16.5703125" customWidth="1"/>
    <col min="8" max="8" width="16" bestFit="1" customWidth="1"/>
    <col min="9" max="9" width="16.85546875" customWidth="1"/>
    <col min="10" max="10" width="16.42578125" bestFit="1" customWidth="1"/>
    <col min="11" max="11" width="15" customWidth="1"/>
    <col min="12" max="12" width="11.7109375" bestFit="1" customWidth="1"/>
  </cols>
  <sheetData>
    <row r="1" spans="1:10" ht="45" customHeight="1" x14ac:dyDescent="0.25">
      <c r="A1" s="96" t="s">
        <v>1</v>
      </c>
      <c r="B1" s="96" t="s">
        <v>2</v>
      </c>
      <c r="C1" s="101" t="s">
        <v>94</v>
      </c>
      <c r="D1" s="96" t="s">
        <v>3</v>
      </c>
      <c r="E1" s="96" t="s">
        <v>92</v>
      </c>
      <c r="F1" s="96" t="s">
        <v>93</v>
      </c>
      <c r="G1" s="106" t="s">
        <v>95</v>
      </c>
      <c r="H1" s="106" t="s">
        <v>90</v>
      </c>
      <c r="I1" s="106" t="s">
        <v>96</v>
      </c>
      <c r="J1" s="106" t="s">
        <v>91</v>
      </c>
    </row>
    <row r="2" spans="1:10" x14ac:dyDescent="0.25">
      <c r="A2" s="92" t="s">
        <v>29</v>
      </c>
      <c r="B2" s="92" t="s">
        <v>32</v>
      </c>
      <c r="C2" s="102">
        <v>528.71050000000002</v>
      </c>
      <c r="D2" s="92">
        <v>528.39152899999999</v>
      </c>
      <c r="E2" s="92">
        <v>25</v>
      </c>
      <c r="F2" s="97">
        <f>1000*(E2/C2)</f>
        <v>47.284856268222406</v>
      </c>
      <c r="G2" s="93">
        <v>529.39935400000002</v>
      </c>
      <c r="H2" s="93" t="s">
        <v>6</v>
      </c>
      <c r="I2" s="93">
        <v>573.39028100000007</v>
      </c>
      <c r="J2" s="93" t="s">
        <v>17</v>
      </c>
    </row>
    <row r="3" spans="1:10" x14ac:dyDescent="0.25">
      <c r="A3" s="30" t="s">
        <v>30</v>
      </c>
      <c r="B3" s="30" t="s">
        <v>33</v>
      </c>
      <c r="C3" s="103">
        <v>486.63069999999999</v>
      </c>
      <c r="D3" s="30">
        <v>486.34457800000001</v>
      </c>
      <c r="E3" s="30">
        <v>5</v>
      </c>
      <c r="F3" s="98">
        <f t="shared" ref="F3:F15" si="0">1000*(E3/C3)</f>
        <v>10.274731947655583</v>
      </c>
      <c r="G3" s="32">
        <v>487.35240299999998</v>
      </c>
      <c r="H3" s="32" t="s">
        <v>6</v>
      </c>
      <c r="I3" s="32">
        <v>485.33785</v>
      </c>
      <c r="J3" s="32" t="s">
        <v>16</v>
      </c>
    </row>
    <row r="4" spans="1:10" x14ac:dyDescent="0.25">
      <c r="A4" s="26" t="s">
        <v>31</v>
      </c>
      <c r="B4" s="26" t="s">
        <v>34</v>
      </c>
      <c r="C4" s="104">
        <v>363.58300000000003</v>
      </c>
      <c r="D4" s="26">
        <v>363.33604800000001</v>
      </c>
      <c r="E4" s="26">
        <v>2</v>
      </c>
      <c r="F4" s="99">
        <f t="shared" si="0"/>
        <v>5.5008072434629778</v>
      </c>
      <c r="G4" s="28">
        <v>364.34387299999997</v>
      </c>
      <c r="H4" s="28" t="s">
        <v>6</v>
      </c>
      <c r="I4" s="28"/>
      <c r="J4" s="28" t="s">
        <v>17</v>
      </c>
    </row>
    <row r="5" spans="1:10" x14ac:dyDescent="0.25">
      <c r="A5" s="30" t="s">
        <v>49</v>
      </c>
      <c r="B5" s="30" t="s">
        <v>35</v>
      </c>
      <c r="C5" s="103">
        <v>830.08579999999995</v>
      </c>
      <c r="D5" s="30">
        <v>829.56921799999998</v>
      </c>
      <c r="E5" s="30">
        <v>10</v>
      </c>
      <c r="F5" s="98">
        <f t="shared" si="0"/>
        <v>12.046947436036131</v>
      </c>
      <c r="G5" s="32">
        <v>847.60359200000005</v>
      </c>
      <c r="H5" s="32" t="s">
        <v>7</v>
      </c>
      <c r="I5" s="32">
        <v>828.56249000000003</v>
      </c>
      <c r="J5" s="32" t="s">
        <v>16</v>
      </c>
    </row>
    <row r="6" spans="1:10" x14ac:dyDescent="0.25">
      <c r="A6" s="26" t="s">
        <v>50</v>
      </c>
      <c r="B6" s="26" t="s">
        <v>37</v>
      </c>
      <c r="C6" s="104">
        <v>742.02369999999996</v>
      </c>
      <c r="D6" s="26">
        <v>741.55317400000001</v>
      </c>
      <c r="E6" s="26">
        <v>30</v>
      </c>
      <c r="F6" s="99">
        <f t="shared" si="0"/>
        <v>40.42997548461053</v>
      </c>
      <c r="G6" s="28">
        <v>759.58754799999997</v>
      </c>
      <c r="H6" s="28" t="s">
        <v>7</v>
      </c>
      <c r="I6" s="28">
        <v>740.54644599999995</v>
      </c>
      <c r="J6" s="28" t="s">
        <v>16</v>
      </c>
    </row>
    <row r="7" spans="1:10" x14ac:dyDescent="0.25">
      <c r="A7" s="30" t="s">
        <v>51</v>
      </c>
      <c r="B7" s="30" t="s">
        <v>38</v>
      </c>
      <c r="C7" s="103">
        <v>755.02250000000004</v>
      </c>
      <c r="D7" s="30">
        <v>754.54842299999996</v>
      </c>
      <c r="E7" s="30">
        <v>5</v>
      </c>
      <c r="F7" s="98">
        <f t="shared" si="0"/>
        <v>6.6223192024078745</v>
      </c>
      <c r="G7" s="32">
        <v>755.55624799999998</v>
      </c>
      <c r="H7" s="32" t="s">
        <v>6</v>
      </c>
      <c r="I7" s="32">
        <v>753.541695</v>
      </c>
      <c r="J7" s="32" t="s">
        <v>16</v>
      </c>
    </row>
    <row r="8" spans="1:10" x14ac:dyDescent="0.25">
      <c r="A8" s="26" t="s">
        <v>46</v>
      </c>
      <c r="B8" s="26" t="s">
        <v>36</v>
      </c>
      <c r="C8" s="104">
        <v>393.69670000000002</v>
      </c>
      <c r="D8" s="26">
        <v>393.39822500000002</v>
      </c>
      <c r="E8" s="26">
        <v>100</v>
      </c>
      <c r="F8" s="99">
        <f t="shared" si="0"/>
        <v>254.0026370553779</v>
      </c>
      <c r="G8" s="28">
        <v>376.39548600000001</v>
      </c>
      <c r="H8" s="28" t="s">
        <v>9</v>
      </c>
      <c r="I8" s="28"/>
      <c r="J8" s="28"/>
    </row>
    <row r="9" spans="1:10" x14ac:dyDescent="0.25">
      <c r="A9" s="30" t="s">
        <v>52</v>
      </c>
      <c r="B9" s="30" t="s">
        <v>39</v>
      </c>
      <c r="C9" s="103">
        <v>667.9452</v>
      </c>
      <c r="D9" s="30">
        <v>667.51639499999999</v>
      </c>
      <c r="E9" s="30">
        <v>7</v>
      </c>
      <c r="F9" s="98">
        <f t="shared" si="0"/>
        <v>10.479901644625937</v>
      </c>
      <c r="G9" s="32">
        <v>685.55076900000006</v>
      </c>
      <c r="H9" s="32" t="s">
        <v>7</v>
      </c>
      <c r="I9" s="32">
        <v>666.50966700000004</v>
      </c>
      <c r="J9" s="32" t="s">
        <v>16</v>
      </c>
    </row>
    <row r="10" spans="1:10" x14ac:dyDescent="0.25">
      <c r="A10" s="26" t="s">
        <v>48</v>
      </c>
      <c r="B10" s="26" t="s">
        <v>40</v>
      </c>
      <c r="C10" s="104">
        <v>738.12090000000001</v>
      </c>
      <c r="D10" s="26">
        <v>737.63916700000004</v>
      </c>
      <c r="E10" s="26">
        <v>30</v>
      </c>
      <c r="F10" s="99">
        <f t="shared" si="0"/>
        <v>40.64374819897391</v>
      </c>
      <c r="G10" s="28">
        <v>738.64699199999995</v>
      </c>
      <c r="H10" s="28" t="s">
        <v>6</v>
      </c>
      <c r="I10" s="28">
        <v>782.63791900000001</v>
      </c>
      <c r="J10" s="28" t="s">
        <v>17</v>
      </c>
    </row>
    <row r="11" spans="1:10" x14ac:dyDescent="0.25">
      <c r="A11" s="30" t="s">
        <v>53</v>
      </c>
      <c r="B11" s="30" t="s">
        <v>41</v>
      </c>
      <c r="C11" s="103">
        <v>753.09270000000004</v>
      </c>
      <c r="D11" s="30">
        <v>752.60554400000001</v>
      </c>
      <c r="E11" s="30">
        <v>160</v>
      </c>
      <c r="F11" s="98">
        <f>1000*(E11/C11)</f>
        <v>212.45724463933854</v>
      </c>
      <c r="G11" s="32">
        <v>753.61336900000003</v>
      </c>
      <c r="H11" s="32" t="s">
        <v>6</v>
      </c>
      <c r="I11" s="32">
        <v>797.60429599999998</v>
      </c>
      <c r="J11" s="32" t="s">
        <v>17</v>
      </c>
    </row>
    <row r="12" spans="1:10" x14ac:dyDescent="0.25">
      <c r="A12" s="26" t="s">
        <v>54</v>
      </c>
      <c r="B12" s="26" t="s">
        <v>42</v>
      </c>
      <c r="C12" s="104">
        <v>711.01300000000003</v>
      </c>
      <c r="D12" s="26">
        <v>710.55859399999997</v>
      </c>
      <c r="E12" s="26">
        <v>5</v>
      </c>
      <c r="F12" s="99">
        <f t="shared" si="0"/>
        <v>7.0322202266343927</v>
      </c>
      <c r="G12" s="28">
        <v>711.566419</v>
      </c>
      <c r="H12" s="28" t="s">
        <v>6</v>
      </c>
      <c r="I12" s="28">
        <v>709.55186600000002</v>
      </c>
      <c r="J12" s="28" t="s">
        <v>16</v>
      </c>
    </row>
    <row r="13" spans="1:10" x14ac:dyDescent="0.25">
      <c r="A13" s="30" t="s">
        <v>55</v>
      </c>
      <c r="B13" s="30" t="s">
        <v>43</v>
      </c>
      <c r="C13" s="103">
        <v>587.96529999999996</v>
      </c>
      <c r="D13" s="30">
        <v>587.55006400000002</v>
      </c>
      <c r="E13" s="30">
        <v>10</v>
      </c>
      <c r="F13" s="98">
        <f t="shared" si="0"/>
        <v>17.007806413065534</v>
      </c>
      <c r="G13" s="32">
        <v>605.58443799999998</v>
      </c>
      <c r="H13" s="32" t="s">
        <v>7</v>
      </c>
      <c r="I13" s="32">
        <v>632.5488160000001</v>
      </c>
      <c r="J13" s="32" t="s">
        <v>17</v>
      </c>
    </row>
    <row r="14" spans="1:10" x14ac:dyDescent="0.25">
      <c r="A14" s="26" t="s">
        <v>56</v>
      </c>
      <c r="B14" s="26" t="s">
        <v>44</v>
      </c>
      <c r="C14" s="104">
        <v>812.34749999999997</v>
      </c>
      <c r="D14" s="26">
        <v>811.76409699999999</v>
      </c>
      <c r="E14" s="26">
        <v>55</v>
      </c>
      <c r="F14" s="99">
        <f t="shared" si="0"/>
        <v>67.705015402891007</v>
      </c>
      <c r="G14" s="28">
        <v>829.79847099999995</v>
      </c>
      <c r="H14" s="28" t="s">
        <v>7</v>
      </c>
      <c r="I14" s="28">
        <v>856.76284900000007</v>
      </c>
      <c r="J14" s="28" t="s">
        <v>17</v>
      </c>
    </row>
    <row r="15" spans="1:10" x14ac:dyDescent="0.25">
      <c r="A15" s="94" t="s">
        <v>47</v>
      </c>
      <c r="B15" s="94" t="s">
        <v>45</v>
      </c>
      <c r="C15" s="105">
        <v>658.14279999999997</v>
      </c>
      <c r="D15" s="94">
        <v>657.64356999999995</v>
      </c>
      <c r="E15" s="94">
        <v>350</v>
      </c>
      <c r="F15" s="100">
        <f t="shared" si="0"/>
        <v>531.79948181458496</v>
      </c>
      <c r="G15" s="95">
        <v>675.67794400000002</v>
      </c>
      <c r="H15" s="95" t="s">
        <v>7</v>
      </c>
      <c r="I15" s="95"/>
      <c r="J15" s="95" t="s">
        <v>17</v>
      </c>
    </row>
    <row r="43" ht="15.75" customHeight="1" x14ac:dyDescent="0.25"/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72"/>
  <sheetViews>
    <sheetView topLeftCell="A12" zoomScale="120" zoomScaleNormal="120" workbookViewId="0">
      <selection activeCell="F35" sqref="F35"/>
    </sheetView>
  </sheetViews>
  <sheetFormatPr defaultRowHeight="15" x14ac:dyDescent="0.25"/>
  <cols>
    <col min="1" max="1" width="30.7109375" bestFit="1" customWidth="1"/>
    <col min="2" max="2" width="18.140625" bestFit="1" customWidth="1"/>
    <col min="3" max="3" width="14.42578125" bestFit="1" customWidth="1"/>
    <col min="4" max="4" width="22.5703125" style="34" customWidth="1"/>
    <col min="5" max="5" width="23.140625" bestFit="1" customWidth="1"/>
    <col min="6" max="6" width="11.7109375" bestFit="1" customWidth="1"/>
    <col min="7" max="7" width="15.140625" style="10" customWidth="1"/>
    <col min="8" max="8" width="12.5703125" style="10" bestFit="1" customWidth="1"/>
    <col min="9" max="9" width="13.140625" style="10" customWidth="1"/>
    <col min="10" max="10" width="19.42578125" style="10" customWidth="1"/>
    <col min="11" max="13" width="18.7109375" style="10" customWidth="1"/>
    <col min="14" max="14" width="13" bestFit="1" customWidth="1"/>
    <col min="15" max="15" width="11.42578125" bestFit="1" customWidth="1"/>
    <col min="16" max="16" width="18.140625" bestFit="1" customWidth="1"/>
    <col min="17" max="17" width="13.7109375" customWidth="1"/>
    <col min="18" max="18" width="11.7109375" bestFit="1" customWidth="1"/>
  </cols>
  <sheetData>
    <row r="1" spans="1:18" x14ac:dyDescent="0.25">
      <c r="A1" s="110" t="s">
        <v>27</v>
      </c>
      <c r="B1" s="111"/>
      <c r="C1" s="111"/>
      <c r="D1" s="111"/>
      <c r="E1" s="112"/>
      <c r="F1" s="113" t="s">
        <v>0</v>
      </c>
      <c r="G1" s="111"/>
      <c r="H1" s="111"/>
      <c r="I1" s="111"/>
      <c r="J1" s="111"/>
      <c r="K1" s="111"/>
      <c r="L1" s="111"/>
      <c r="M1" s="111"/>
      <c r="N1" s="114"/>
    </row>
    <row r="2" spans="1:18" ht="30" customHeight="1" x14ac:dyDescent="0.25">
      <c r="A2" s="1" t="s">
        <v>1</v>
      </c>
      <c r="B2" s="2" t="s">
        <v>2</v>
      </c>
      <c r="C2" s="4" t="s">
        <v>3</v>
      </c>
      <c r="D2" s="35" t="s">
        <v>4</v>
      </c>
      <c r="E2" s="14" t="s">
        <v>5</v>
      </c>
      <c r="F2" s="3" t="s">
        <v>6</v>
      </c>
      <c r="G2" s="9" t="s">
        <v>7</v>
      </c>
      <c r="H2" s="9" t="s">
        <v>8</v>
      </c>
      <c r="I2" s="9" t="s">
        <v>9</v>
      </c>
      <c r="J2" s="9" t="s">
        <v>57</v>
      </c>
      <c r="K2" s="9" t="s">
        <v>10</v>
      </c>
      <c r="L2" s="9" t="s">
        <v>74</v>
      </c>
      <c r="M2" s="9" t="s">
        <v>75</v>
      </c>
      <c r="N2" s="15" t="s">
        <v>79</v>
      </c>
    </row>
    <row r="3" spans="1:18" x14ac:dyDescent="0.25">
      <c r="A3" s="5" t="s">
        <v>29</v>
      </c>
      <c r="B3" s="26" t="s">
        <v>32</v>
      </c>
      <c r="C3" s="12">
        <v>528.39152899999999</v>
      </c>
      <c r="D3" s="36" t="s">
        <v>80</v>
      </c>
      <c r="E3" s="37" t="s">
        <v>6</v>
      </c>
      <c r="F3" s="27">
        <v>529.39935400000002</v>
      </c>
      <c r="G3" s="28">
        <v>546.42590300000006</v>
      </c>
      <c r="H3" s="29">
        <v>551.38129800000002</v>
      </c>
      <c r="I3" s="29">
        <v>511.38878999999997</v>
      </c>
      <c r="J3" s="29">
        <v>573.36324300000001</v>
      </c>
      <c r="K3" s="29">
        <v>567.35523599999999</v>
      </c>
      <c r="L3" s="88">
        <f>2*C3+F$17</f>
        <v>1057.7908830000001</v>
      </c>
      <c r="M3" s="88">
        <f>2*C3+G$17</f>
        <v>1074.8174320000001</v>
      </c>
      <c r="N3" s="16">
        <f>3*$C3+$G$17</f>
        <v>1603.208961</v>
      </c>
    </row>
    <row r="4" spans="1:18" x14ac:dyDescent="0.25">
      <c r="A4" s="6" t="s">
        <v>30</v>
      </c>
      <c r="B4" s="30" t="s">
        <v>33</v>
      </c>
      <c r="C4" s="13">
        <v>486.34457800000001</v>
      </c>
      <c r="D4" s="38" t="s">
        <v>80</v>
      </c>
      <c r="E4" s="39" t="s">
        <v>6</v>
      </c>
      <c r="F4" s="31">
        <v>487.35240299999998</v>
      </c>
      <c r="G4" s="32">
        <v>504.37895200000008</v>
      </c>
      <c r="H4" s="33">
        <v>509.33434699999998</v>
      </c>
      <c r="I4" s="33">
        <v>469.34183899999999</v>
      </c>
      <c r="J4" s="33">
        <v>531.31629199999998</v>
      </c>
      <c r="K4" s="33">
        <v>525.30828499999996</v>
      </c>
      <c r="L4" s="89">
        <f t="shared" ref="L4:L16" si="0">2*C4+F$17</f>
        <v>973.69698100000005</v>
      </c>
      <c r="M4" s="89">
        <f t="shared" ref="M4:M16" si="1">2*C4+G$17</f>
        <v>990.7235300000001</v>
      </c>
      <c r="N4" s="17">
        <f t="shared" ref="N4:N16" si="2">3*$C4+$G$17</f>
        <v>1477.0681080000002</v>
      </c>
      <c r="Q4" s="10"/>
    </row>
    <row r="5" spans="1:18" x14ac:dyDescent="0.25">
      <c r="A5" s="5" t="s">
        <v>31</v>
      </c>
      <c r="B5" s="26" t="s">
        <v>34</v>
      </c>
      <c r="C5" s="12">
        <v>363.33604800000001</v>
      </c>
      <c r="D5" s="36" t="s">
        <v>81</v>
      </c>
      <c r="E5" s="37" t="s">
        <v>12</v>
      </c>
      <c r="F5" s="27">
        <v>364.34387299999997</v>
      </c>
      <c r="G5" s="29">
        <v>381.37042200000002</v>
      </c>
      <c r="H5" s="27">
        <v>386.32581699999997</v>
      </c>
      <c r="I5" s="29">
        <v>346.33330900000004</v>
      </c>
      <c r="J5" s="29"/>
      <c r="K5" s="29">
        <v>402.299755</v>
      </c>
      <c r="L5" s="88">
        <f t="shared" si="0"/>
        <v>727.67992100000004</v>
      </c>
      <c r="M5" s="88">
        <f t="shared" si="1"/>
        <v>744.70647000000008</v>
      </c>
      <c r="N5" s="16">
        <f t="shared" si="2"/>
        <v>1108.042518</v>
      </c>
      <c r="P5" s="10"/>
    </row>
    <row r="6" spans="1:18" x14ac:dyDescent="0.25">
      <c r="A6" s="5" t="s">
        <v>49</v>
      </c>
      <c r="B6" s="26" t="s">
        <v>35</v>
      </c>
      <c r="C6" s="12">
        <v>829.56921799999998</v>
      </c>
      <c r="D6" s="36" t="s">
        <v>82</v>
      </c>
      <c r="E6" s="37" t="s">
        <v>7</v>
      </c>
      <c r="F6" s="29">
        <v>830.577043</v>
      </c>
      <c r="G6" s="27">
        <v>847.60359200000005</v>
      </c>
      <c r="H6" s="29">
        <v>852.558987</v>
      </c>
      <c r="I6" s="28">
        <v>812.56647900000007</v>
      </c>
      <c r="J6" s="29">
        <v>874.540932</v>
      </c>
      <c r="K6" s="28">
        <v>868.53292499999998</v>
      </c>
      <c r="L6" s="88">
        <f t="shared" si="0"/>
        <v>1660.1462610000001</v>
      </c>
      <c r="M6" s="88">
        <f t="shared" si="1"/>
        <v>1677.17281</v>
      </c>
      <c r="N6" s="16"/>
    </row>
    <row r="7" spans="1:18" x14ac:dyDescent="0.25">
      <c r="A7" s="6" t="s">
        <v>50</v>
      </c>
      <c r="B7" s="30" t="s">
        <v>37</v>
      </c>
      <c r="C7" s="13">
        <v>741.55317400000001</v>
      </c>
      <c r="D7" s="38" t="s">
        <v>83</v>
      </c>
      <c r="E7" s="39" t="s">
        <v>13</v>
      </c>
      <c r="F7" s="33">
        <v>742.56099900000004</v>
      </c>
      <c r="G7" s="31">
        <v>759.58754799999997</v>
      </c>
      <c r="H7" s="33">
        <v>764.54294300000004</v>
      </c>
      <c r="I7" s="33">
        <v>724.55043500000011</v>
      </c>
      <c r="J7" s="33">
        <v>786.52488800000003</v>
      </c>
      <c r="K7" s="32">
        <v>780.51688100000001</v>
      </c>
      <c r="L7" s="89">
        <f t="shared" si="0"/>
        <v>1484.1141730000002</v>
      </c>
      <c r="M7" s="89">
        <f t="shared" si="1"/>
        <v>1501.1407220000001</v>
      </c>
      <c r="N7" s="17"/>
      <c r="P7" s="10"/>
    </row>
    <row r="8" spans="1:18" x14ac:dyDescent="0.25">
      <c r="A8" s="5" t="s">
        <v>51</v>
      </c>
      <c r="B8" s="26" t="s">
        <v>38</v>
      </c>
      <c r="C8" s="12">
        <v>754.54842299999996</v>
      </c>
      <c r="D8" s="36" t="s">
        <v>59</v>
      </c>
      <c r="E8" s="37" t="s">
        <v>6</v>
      </c>
      <c r="F8" s="27">
        <v>755.55624799999998</v>
      </c>
      <c r="G8" s="28">
        <v>772.58279700000003</v>
      </c>
      <c r="H8" s="29">
        <v>777.53819199999998</v>
      </c>
      <c r="I8" s="28">
        <v>737.54568400000005</v>
      </c>
      <c r="J8" s="28">
        <v>799.52013699999998</v>
      </c>
      <c r="K8" s="28">
        <v>793.51212999999996</v>
      </c>
      <c r="L8" s="88">
        <f t="shared" si="0"/>
        <v>1510.1046710000001</v>
      </c>
      <c r="M8" s="88">
        <f t="shared" si="1"/>
        <v>1527.13122</v>
      </c>
      <c r="N8" s="16"/>
    </row>
    <row r="9" spans="1:18" x14ac:dyDescent="0.25">
      <c r="A9" s="6" t="s">
        <v>46</v>
      </c>
      <c r="B9" s="30" t="s">
        <v>36</v>
      </c>
      <c r="C9" s="13">
        <v>393.39822500000002</v>
      </c>
      <c r="D9" s="38" t="s">
        <v>62</v>
      </c>
      <c r="E9" s="39" t="s">
        <v>14</v>
      </c>
      <c r="F9" s="33">
        <v>394.40605000000005</v>
      </c>
      <c r="G9" s="33">
        <v>411.4325990000001</v>
      </c>
      <c r="H9" s="33">
        <v>416.38799399999999</v>
      </c>
      <c r="I9" s="31">
        <v>376.39548600000001</v>
      </c>
      <c r="J9" s="32">
        <v>438.36993900000004</v>
      </c>
      <c r="K9" s="32">
        <v>432.36193200000002</v>
      </c>
      <c r="L9" s="89">
        <f t="shared" si="0"/>
        <v>787.80427500000008</v>
      </c>
      <c r="M9" s="89">
        <f t="shared" si="1"/>
        <v>804.83082400000012</v>
      </c>
      <c r="N9" s="17">
        <f t="shared" si="2"/>
        <v>1198.2290490000003</v>
      </c>
    </row>
    <row r="10" spans="1:18" x14ac:dyDescent="0.25">
      <c r="A10" s="5" t="s">
        <v>52</v>
      </c>
      <c r="B10" s="26" t="s">
        <v>39</v>
      </c>
      <c r="C10" s="12">
        <v>667.51639499999999</v>
      </c>
      <c r="D10" s="36" t="s">
        <v>84</v>
      </c>
      <c r="E10" s="37" t="s">
        <v>7</v>
      </c>
      <c r="F10" s="29">
        <v>668.52422000000001</v>
      </c>
      <c r="G10" s="27">
        <v>685.55076900000006</v>
      </c>
      <c r="H10" s="29">
        <v>690.50616400000001</v>
      </c>
      <c r="I10" s="28">
        <v>650.51365600000008</v>
      </c>
      <c r="J10" s="28">
        <v>712.48810900000001</v>
      </c>
      <c r="K10" s="28">
        <v>706.48010199999999</v>
      </c>
      <c r="L10" s="88">
        <f t="shared" si="0"/>
        <v>1336.0406150000001</v>
      </c>
      <c r="M10" s="88">
        <f t="shared" si="1"/>
        <v>1353.067164</v>
      </c>
      <c r="N10" s="16"/>
    </row>
    <row r="11" spans="1:18" x14ac:dyDescent="0.25">
      <c r="A11" s="6" t="s">
        <v>48</v>
      </c>
      <c r="B11" s="30" t="s">
        <v>40</v>
      </c>
      <c r="C11" s="13">
        <v>737.63916700000004</v>
      </c>
      <c r="D11" s="38" t="s">
        <v>85</v>
      </c>
      <c r="E11" s="39" t="s">
        <v>15</v>
      </c>
      <c r="F11" s="31">
        <v>738.64699199999995</v>
      </c>
      <c r="G11" s="32">
        <v>755.67354100000011</v>
      </c>
      <c r="H11" s="33">
        <v>760.62893599999995</v>
      </c>
      <c r="I11" s="31">
        <v>720.63642800000002</v>
      </c>
      <c r="J11" s="32">
        <v>782.61088100000006</v>
      </c>
      <c r="K11" s="32">
        <v>776.60287400000004</v>
      </c>
      <c r="L11" s="89">
        <f t="shared" si="0"/>
        <v>1476.2861590000002</v>
      </c>
      <c r="M11" s="89">
        <f t="shared" si="1"/>
        <v>1493.3127080000002</v>
      </c>
      <c r="N11" s="17"/>
    </row>
    <row r="12" spans="1:18" x14ac:dyDescent="0.25">
      <c r="A12" s="5" t="s">
        <v>53</v>
      </c>
      <c r="B12" s="26" t="s">
        <v>41</v>
      </c>
      <c r="C12" s="12">
        <v>752.60554400000001</v>
      </c>
      <c r="D12" s="36" t="s">
        <v>86</v>
      </c>
      <c r="E12" s="37" t="s">
        <v>6</v>
      </c>
      <c r="F12" s="27">
        <v>753.61336900000003</v>
      </c>
      <c r="G12" s="28">
        <v>770.63991800000008</v>
      </c>
      <c r="H12" s="29">
        <v>775.59531300000003</v>
      </c>
      <c r="I12" s="28">
        <v>735.6028050000001</v>
      </c>
      <c r="J12" s="28">
        <v>797.57725800000003</v>
      </c>
      <c r="K12" s="28">
        <v>791.56925100000001</v>
      </c>
      <c r="L12" s="88">
        <f t="shared" si="0"/>
        <v>1506.2189130000002</v>
      </c>
      <c r="M12" s="88">
        <f t="shared" si="1"/>
        <v>1523.2454620000001</v>
      </c>
      <c r="N12" s="16"/>
    </row>
    <row r="13" spans="1:18" x14ac:dyDescent="0.25">
      <c r="A13" s="6" t="s">
        <v>54</v>
      </c>
      <c r="B13" s="30" t="s">
        <v>42</v>
      </c>
      <c r="C13" s="13">
        <v>710.55859399999997</v>
      </c>
      <c r="D13" s="38" t="s">
        <v>87</v>
      </c>
      <c r="E13" s="39" t="s">
        <v>6</v>
      </c>
      <c r="F13" s="31">
        <v>711.566419</v>
      </c>
      <c r="G13" s="32">
        <v>728.59296800000004</v>
      </c>
      <c r="H13" s="33">
        <v>733.54836299999999</v>
      </c>
      <c r="I13" s="32">
        <v>693.55585500000007</v>
      </c>
      <c r="J13" s="33">
        <v>755.53030799999999</v>
      </c>
      <c r="K13" s="33">
        <v>749.52230099999997</v>
      </c>
      <c r="L13" s="89">
        <f t="shared" si="0"/>
        <v>1422.1250130000001</v>
      </c>
      <c r="M13" s="89">
        <f t="shared" si="1"/>
        <v>1439.151562</v>
      </c>
      <c r="N13" s="17"/>
    </row>
    <row r="14" spans="1:18" x14ac:dyDescent="0.25">
      <c r="A14" s="5" t="s">
        <v>55</v>
      </c>
      <c r="B14" s="26" t="s">
        <v>43</v>
      </c>
      <c r="C14" s="12">
        <v>587.55006400000002</v>
      </c>
      <c r="D14" s="36" t="s">
        <v>88</v>
      </c>
      <c r="E14" s="37" t="s">
        <v>7</v>
      </c>
      <c r="F14" s="29">
        <v>588.55788900000005</v>
      </c>
      <c r="G14" s="27">
        <v>605.58443799999998</v>
      </c>
      <c r="H14" s="29">
        <v>610.53983300000004</v>
      </c>
      <c r="I14" s="29">
        <v>570.547325</v>
      </c>
      <c r="J14" s="28">
        <v>632.52177800000004</v>
      </c>
      <c r="K14" s="29">
        <v>626.51377100000002</v>
      </c>
      <c r="L14" s="88">
        <f t="shared" si="0"/>
        <v>1176.1079530000002</v>
      </c>
      <c r="M14" s="88">
        <f t="shared" si="1"/>
        <v>1193.1345020000001</v>
      </c>
      <c r="N14" s="16">
        <f t="shared" si="2"/>
        <v>1780.6845660000001</v>
      </c>
    </row>
    <row r="15" spans="1:18" x14ac:dyDescent="0.25">
      <c r="A15" s="6" t="s">
        <v>56</v>
      </c>
      <c r="B15" s="30" t="s">
        <v>44</v>
      </c>
      <c r="C15" s="13">
        <v>811.76409699999999</v>
      </c>
      <c r="D15" s="38" t="s">
        <v>72</v>
      </c>
      <c r="E15" s="39" t="s">
        <v>7</v>
      </c>
      <c r="F15" s="32">
        <v>812.77192200000002</v>
      </c>
      <c r="G15" s="31">
        <v>829.79847099999995</v>
      </c>
      <c r="H15" s="33">
        <v>834.75386600000002</v>
      </c>
      <c r="I15" s="32">
        <v>794.76135800000009</v>
      </c>
      <c r="J15" s="32">
        <v>856.73581100000001</v>
      </c>
      <c r="K15" s="33">
        <v>850.72780399999999</v>
      </c>
      <c r="L15" s="89">
        <f t="shared" si="0"/>
        <v>1624.5360190000001</v>
      </c>
      <c r="M15" s="89">
        <f t="shared" si="1"/>
        <v>1641.5625680000001</v>
      </c>
      <c r="N15" s="17"/>
      <c r="Q15" s="10"/>
    </row>
    <row r="16" spans="1:18" ht="15.75" thickBot="1" x14ac:dyDescent="0.3">
      <c r="A16" s="7" t="s">
        <v>47</v>
      </c>
      <c r="B16" s="8" t="s">
        <v>45</v>
      </c>
      <c r="C16" s="19">
        <v>657.64356999999995</v>
      </c>
      <c r="D16" s="40" t="s">
        <v>89</v>
      </c>
      <c r="E16" s="41" t="s">
        <v>7</v>
      </c>
      <c r="F16" s="22">
        <v>658.65139499999998</v>
      </c>
      <c r="G16" s="23">
        <v>675.67794400000002</v>
      </c>
      <c r="H16" s="22">
        <v>680.63333899999998</v>
      </c>
      <c r="I16" s="20">
        <v>640.64083100000005</v>
      </c>
      <c r="J16" s="20">
        <v>702.61528399999997</v>
      </c>
      <c r="K16" s="20">
        <v>696.60727699999995</v>
      </c>
      <c r="L16" s="90">
        <f t="shared" si="0"/>
        <v>1316.294965</v>
      </c>
      <c r="M16" s="90">
        <f t="shared" si="1"/>
        <v>1333.321514</v>
      </c>
      <c r="N16" s="43">
        <f t="shared" si="2"/>
        <v>1990.9650839999999</v>
      </c>
      <c r="P16" s="10"/>
      <c r="Q16" s="10"/>
      <c r="R16" s="10"/>
    </row>
    <row r="17" spans="1:17" x14ac:dyDescent="0.25">
      <c r="E17" s="11"/>
      <c r="F17" s="42">
        <v>1.0078250000000299</v>
      </c>
      <c r="G17" s="10">
        <v>18.034374000000099</v>
      </c>
      <c r="H17" s="10">
        <v>22.989768999999999</v>
      </c>
      <c r="I17" s="10">
        <v>-17.002738999999959</v>
      </c>
      <c r="J17" s="10">
        <v>44.971713999999999</v>
      </c>
      <c r="K17" s="10">
        <v>38.963706999999999</v>
      </c>
      <c r="N17" s="10"/>
      <c r="P17" s="10"/>
      <c r="Q17" s="10"/>
    </row>
    <row r="18" spans="1:17" ht="15.75" thickBot="1" x14ac:dyDescent="0.3"/>
    <row r="19" spans="1:17" x14ac:dyDescent="0.25">
      <c r="A19" s="115" t="s">
        <v>28</v>
      </c>
      <c r="B19" s="116"/>
      <c r="C19" s="116"/>
      <c r="D19" s="116"/>
      <c r="E19" s="117"/>
      <c r="F19" s="118" t="s">
        <v>0</v>
      </c>
      <c r="G19" s="116"/>
      <c r="H19" s="116"/>
      <c r="I19" s="116"/>
      <c r="J19" s="116"/>
      <c r="K19" s="116"/>
      <c r="L19" s="116"/>
      <c r="M19" s="116"/>
      <c r="N19" s="119"/>
    </row>
    <row r="20" spans="1:17" ht="30" x14ac:dyDescent="0.25">
      <c r="A20" s="1" t="s">
        <v>1</v>
      </c>
      <c r="B20" s="2" t="s">
        <v>2</v>
      </c>
      <c r="C20" s="4" t="s">
        <v>3</v>
      </c>
      <c r="D20" s="35" t="s">
        <v>4</v>
      </c>
      <c r="E20" s="14" t="s">
        <v>5</v>
      </c>
      <c r="F20" s="3" t="s">
        <v>16</v>
      </c>
      <c r="G20" s="9" t="s">
        <v>17</v>
      </c>
      <c r="H20" s="9" t="s">
        <v>18</v>
      </c>
      <c r="I20" s="9" t="s">
        <v>19</v>
      </c>
      <c r="J20" s="9" t="s">
        <v>58</v>
      </c>
      <c r="K20" s="9" t="s">
        <v>20</v>
      </c>
      <c r="L20" s="9" t="s">
        <v>76</v>
      </c>
      <c r="M20" s="9" t="s">
        <v>78</v>
      </c>
      <c r="N20" s="15" t="s">
        <v>77</v>
      </c>
    </row>
    <row r="21" spans="1:17" x14ac:dyDescent="0.25">
      <c r="A21" s="5" t="s">
        <v>29</v>
      </c>
      <c r="B21" s="26" t="s">
        <v>32</v>
      </c>
      <c r="C21" s="12">
        <v>528.39152899999999</v>
      </c>
      <c r="D21" s="36" t="s">
        <v>80</v>
      </c>
      <c r="E21" s="37" t="s">
        <v>21</v>
      </c>
      <c r="F21" s="28">
        <v>527.38480100000004</v>
      </c>
      <c r="G21" s="27">
        <v>573.39028100000007</v>
      </c>
      <c r="H21" s="28">
        <v>509.37423700000005</v>
      </c>
      <c r="I21" s="28">
        <v>563.36147900000003</v>
      </c>
      <c r="J21" s="28">
        <v>595.37222500000007</v>
      </c>
      <c r="K21" s="29">
        <v>513.36915099999999</v>
      </c>
      <c r="L21" s="88">
        <f>2*C21+F$35</f>
        <v>1055.7763300000001</v>
      </c>
      <c r="M21" s="88">
        <f>2*C21+G$35</f>
        <v>1101.7818100000002</v>
      </c>
      <c r="N21" s="16">
        <f>(C21+2*F$35)/2</f>
        <v>263.18903650000004</v>
      </c>
      <c r="O21" s="10"/>
    </row>
    <row r="22" spans="1:17" x14ac:dyDescent="0.25">
      <c r="A22" s="6" t="s">
        <v>30</v>
      </c>
      <c r="B22" s="30" t="s">
        <v>33</v>
      </c>
      <c r="C22" s="13">
        <v>486.34457800000001</v>
      </c>
      <c r="D22" s="38" t="s">
        <v>80</v>
      </c>
      <c r="E22" s="39" t="s">
        <v>16</v>
      </c>
      <c r="F22" s="31">
        <v>485.33785</v>
      </c>
      <c r="G22" s="32">
        <v>531.34333000000015</v>
      </c>
      <c r="H22" s="32">
        <v>467.32728600000007</v>
      </c>
      <c r="I22" s="32">
        <v>521.31452800000011</v>
      </c>
      <c r="J22" s="32">
        <v>553.32527400000004</v>
      </c>
      <c r="K22" s="32">
        <v>471.32220000000007</v>
      </c>
      <c r="L22" s="89">
        <f t="shared" ref="L22:L34" si="3">2*C22+F$35</f>
        <v>971.68242800000007</v>
      </c>
      <c r="M22" s="89">
        <f t="shared" ref="M22:M34" si="4">2*C22+G$35</f>
        <v>1017.6879080000001</v>
      </c>
      <c r="N22" s="17">
        <f t="shared" ref="N22:N34" si="5">(C22+2*F$35)/2</f>
        <v>242.16556100000005</v>
      </c>
    </row>
    <row r="23" spans="1:17" x14ac:dyDescent="0.25">
      <c r="A23" s="5" t="s">
        <v>31</v>
      </c>
      <c r="B23" s="26" t="s">
        <v>34</v>
      </c>
      <c r="C23" s="12">
        <v>363.33604800000001</v>
      </c>
      <c r="D23" s="36" t="s">
        <v>81</v>
      </c>
      <c r="E23" s="37" t="s">
        <v>21</v>
      </c>
      <c r="F23" s="29">
        <v>362.32932000000005</v>
      </c>
      <c r="G23" s="27">
        <v>408.33480000000009</v>
      </c>
      <c r="H23" s="28">
        <v>344.31875600000006</v>
      </c>
      <c r="I23" s="29">
        <v>398.30599800000005</v>
      </c>
      <c r="J23" s="28">
        <v>430.31674400000009</v>
      </c>
      <c r="K23" s="28">
        <v>348.31367000000006</v>
      </c>
      <c r="L23" s="88">
        <f t="shared" si="3"/>
        <v>725.66536800000006</v>
      </c>
      <c r="M23" s="88">
        <f t="shared" si="4"/>
        <v>771.67084800000009</v>
      </c>
      <c r="N23" s="16">
        <f t="shared" si="5"/>
        <v>180.66129600000005</v>
      </c>
    </row>
    <row r="24" spans="1:17" x14ac:dyDescent="0.25">
      <c r="A24" s="5" t="s">
        <v>49</v>
      </c>
      <c r="B24" s="26" t="s">
        <v>35</v>
      </c>
      <c r="C24" s="12">
        <v>829.56921799999998</v>
      </c>
      <c r="D24" s="36" t="s">
        <v>82</v>
      </c>
      <c r="E24" s="37" t="s">
        <v>16</v>
      </c>
      <c r="F24" s="27">
        <v>828.56249000000003</v>
      </c>
      <c r="G24" s="28">
        <v>874.56797000000006</v>
      </c>
      <c r="H24" s="28">
        <v>810.55192600000009</v>
      </c>
      <c r="I24" s="28">
        <v>864.53916800000002</v>
      </c>
      <c r="J24" s="29">
        <v>896.54991400000006</v>
      </c>
      <c r="K24" s="28">
        <v>814.54683999999997</v>
      </c>
      <c r="L24" s="88">
        <f t="shared" si="3"/>
        <v>1658.1317080000001</v>
      </c>
      <c r="M24" s="88">
        <f t="shared" si="4"/>
        <v>1704.1371880000002</v>
      </c>
      <c r="N24" s="16">
        <f t="shared" si="5"/>
        <v>413.77788100000004</v>
      </c>
    </row>
    <row r="25" spans="1:17" x14ac:dyDescent="0.25">
      <c r="A25" s="6" t="s">
        <v>50</v>
      </c>
      <c r="B25" s="30" t="s">
        <v>37</v>
      </c>
      <c r="C25" s="13">
        <v>741.55317400000001</v>
      </c>
      <c r="D25" s="38" t="s">
        <v>83</v>
      </c>
      <c r="E25" s="39" t="s">
        <v>16</v>
      </c>
      <c r="F25" s="31">
        <v>740.54644600000006</v>
      </c>
      <c r="G25" s="32">
        <v>786.55192600000009</v>
      </c>
      <c r="H25" s="32">
        <v>722.53588200000013</v>
      </c>
      <c r="I25" s="32">
        <v>776.52312400000005</v>
      </c>
      <c r="J25" s="33">
        <v>808.53387000000009</v>
      </c>
      <c r="K25" s="32">
        <v>726.53079600000001</v>
      </c>
      <c r="L25" s="89">
        <f t="shared" si="3"/>
        <v>1482.0996200000002</v>
      </c>
      <c r="M25" s="89">
        <f t="shared" si="4"/>
        <v>1528.1051000000002</v>
      </c>
      <c r="N25" s="17">
        <f t="shared" si="5"/>
        <v>369.76985900000005</v>
      </c>
      <c r="Q25" s="10"/>
    </row>
    <row r="26" spans="1:17" x14ac:dyDescent="0.25">
      <c r="A26" s="5" t="s">
        <v>51</v>
      </c>
      <c r="B26" s="26" t="s">
        <v>38</v>
      </c>
      <c r="C26" s="12">
        <v>754.54842299999996</v>
      </c>
      <c r="D26" s="36" t="s">
        <v>59</v>
      </c>
      <c r="E26" s="37" t="s">
        <v>16</v>
      </c>
      <c r="F26" s="27">
        <v>753.541695</v>
      </c>
      <c r="G26" s="28">
        <v>799.54717500000004</v>
      </c>
      <c r="H26" s="28">
        <v>735.53113099999996</v>
      </c>
      <c r="I26" s="28">
        <v>789.518373</v>
      </c>
      <c r="J26" s="28">
        <v>821.52911900000004</v>
      </c>
      <c r="K26" s="28">
        <v>739.52604499999995</v>
      </c>
      <c r="L26" s="88">
        <f t="shared" si="3"/>
        <v>1508.0901180000001</v>
      </c>
      <c r="M26" s="88">
        <f t="shared" si="4"/>
        <v>1554.0955980000001</v>
      </c>
      <c r="N26" s="91">
        <f t="shared" si="5"/>
        <v>376.26748350000003</v>
      </c>
      <c r="O26" s="10"/>
    </row>
    <row r="27" spans="1:17" x14ac:dyDescent="0.25">
      <c r="A27" s="6" t="s">
        <v>46</v>
      </c>
      <c r="B27" s="30" t="s">
        <v>36</v>
      </c>
      <c r="C27" s="13">
        <v>393.39822500000002</v>
      </c>
      <c r="D27" s="38" t="s">
        <v>62</v>
      </c>
      <c r="E27" s="39" t="s">
        <v>23</v>
      </c>
      <c r="F27" s="32">
        <v>392.39149700000007</v>
      </c>
      <c r="G27" s="31">
        <v>438.39697700000011</v>
      </c>
      <c r="H27" s="32">
        <v>374.38093300000008</v>
      </c>
      <c r="I27" s="32">
        <v>428.36817500000006</v>
      </c>
      <c r="J27" s="32">
        <v>460.3789210000001</v>
      </c>
      <c r="K27" s="32">
        <v>378.37584700000008</v>
      </c>
      <c r="L27" s="89">
        <f t="shared" si="3"/>
        <v>785.7897220000001</v>
      </c>
      <c r="M27" s="89">
        <f t="shared" si="4"/>
        <v>831.79520200000013</v>
      </c>
      <c r="N27" s="17">
        <f t="shared" si="5"/>
        <v>195.69238450000006</v>
      </c>
    </row>
    <row r="28" spans="1:17" x14ac:dyDescent="0.25">
      <c r="A28" s="5" t="s">
        <v>52</v>
      </c>
      <c r="B28" s="26" t="s">
        <v>39</v>
      </c>
      <c r="C28" s="12">
        <v>667.51639499999999</v>
      </c>
      <c r="D28" s="36" t="s">
        <v>84</v>
      </c>
      <c r="E28" s="37" t="s">
        <v>16</v>
      </c>
      <c r="F28" s="27">
        <v>666.50966700000004</v>
      </c>
      <c r="G28" s="28">
        <v>712.51514700000007</v>
      </c>
      <c r="H28" s="28">
        <v>648.4991030000001</v>
      </c>
      <c r="I28" s="28">
        <v>702.48634500000003</v>
      </c>
      <c r="J28" s="29">
        <v>734.49709100000007</v>
      </c>
      <c r="K28" s="28">
        <v>652.49401699999999</v>
      </c>
      <c r="L28" s="88">
        <f t="shared" si="3"/>
        <v>1334.0260620000001</v>
      </c>
      <c r="M28" s="88">
        <f t="shared" si="4"/>
        <v>1380.0315420000002</v>
      </c>
      <c r="N28" s="16">
        <f t="shared" si="5"/>
        <v>332.75146950000004</v>
      </c>
    </row>
    <row r="29" spans="1:17" x14ac:dyDescent="0.25">
      <c r="A29" s="6" t="s">
        <v>48</v>
      </c>
      <c r="B29" s="30" t="s">
        <v>40</v>
      </c>
      <c r="C29" s="13">
        <v>737.63916700000004</v>
      </c>
      <c r="D29" s="38" t="s">
        <v>85</v>
      </c>
      <c r="E29" s="39" t="s">
        <v>21</v>
      </c>
      <c r="F29" s="33">
        <v>736.63243899999998</v>
      </c>
      <c r="G29" s="31">
        <v>782.63791900000001</v>
      </c>
      <c r="H29" s="32">
        <v>718.62187500000005</v>
      </c>
      <c r="I29" s="33">
        <v>772.60911699999997</v>
      </c>
      <c r="J29" s="32">
        <v>804.61986300000012</v>
      </c>
      <c r="K29" s="32">
        <v>722.61678900000004</v>
      </c>
      <c r="L29" s="89">
        <f t="shared" si="3"/>
        <v>1474.2716060000002</v>
      </c>
      <c r="M29" s="89">
        <f t="shared" si="4"/>
        <v>1520.2770860000003</v>
      </c>
      <c r="N29" s="17">
        <f t="shared" si="5"/>
        <v>367.81285550000007</v>
      </c>
    </row>
    <row r="30" spans="1:17" x14ac:dyDescent="0.25">
      <c r="A30" s="5" t="s">
        <v>53</v>
      </c>
      <c r="B30" s="26" t="s">
        <v>41</v>
      </c>
      <c r="C30" s="12">
        <v>752.60554400000001</v>
      </c>
      <c r="D30" s="36" t="s">
        <v>86</v>
      </c>
      <c r="E30" s="37" t="s">
        <v>21</v>
      </c>
      <c r="F30" s="28">
        <v>751.59881600000006</v>
      </c>
      <c r="G30" s="27">
        <v>797.60429599999998</v>
      </c>
      <c r="H30" s="28">
        <v>733.58825200000001</v>
      </c>
      <c r="I30" s="28">
        <v>787.57549400000005</v>
      </c>
      <c r="J30" s="28">
        <v>819.58624000000009</v>
      </c>
      <c r="K30" s="28">
        <v>737.58316600000001</v>
      </c>
      <c r="L30" s="88">
        <f t="shared" si="3"/>
        <v>1504.2043600000002</v>
      </c>
      <c r="M30" s="88">
        <f t="shared" si="4"/>
        <v>1550.2098400000002</v>
      </c>
      <c r="N30" s="16">
        <f t="shared" si="5"/>
        <v>375.29604400000005</v>
      </c>
    </row>
    <row r="31" spans="1:17" x14ac:dyDescent="0.25">
      <c r="A31" s="6" t="s">
        <v>54</v>
      </c>
      <c r="B31" s="30" t="s">
        <v>42</v>
      </c>
      <c r="C31" s="13">
        <v>710.55859399999997</v>
      </c>
      <c r="D31" s="38" t="s">
        <v>87</v>
      </c>
      <c r="E31" s="39" t="s">
        <v>16</v>
      </c>
      <c r="F31" s="31">
        <v>709.55186600000002</v>
      </c>
      <c r="G31" s="32">
        <v>755.55734600000005</v>
      </c>
      <c r="H31" s="32">
        <v>691.54130200000009</v>
      </c>
      <c r="I31" s="32">
        <v>745.52854400000001</v>
      </c>
      <c r="J31" s="33">
        <v>777.53929000000005</v>
      </c>
      <c r="K31" s="32">
        <v>695.53621599999997</v>
      </c>
      <c r="L31" s="89">
        <f t="shared" si="3"/>
        <v>1420.1104600000001</v>
      </c>
      <c r="M31" s="89">
        <f t="shared" si="4"/>
        <v>1466.1159400000001</v>
      </c>
      <c r="N31" s="17">
        <f t="shared" si="5"/>
        <v>354.27256900000003</v>
      </c>
    </row>
    <row r="32" spans="1:17" x14ac:dyDescent="0.25">
      <c r="A32" s="5" t="s">
        <v>55</v>
      </c>
      <c r="B32" s="26" t="s">
        <v>43</v>
      </c>
      <c r="C32" s="12">
        <v>587.55006400000002</v>
      </c>
      <c r="D32" s="36" t="s">
        <v>88</v>
      </c>
      <c r="E32" s="37" t="s">
        <v>21</v>
      </c>
      <c r="F32" s="28">
        <v>586.54333600000007</v>
      </c>
      <c r="G32" s="27">
        <v>632.5488160000001</v>
      </c>
      <c r="H32" s="28">
        <v>568.53277200000002</v>
      </c>
      <c r="I32" s="29">
        <v>622.52001400000006</v>
      </c>
      <c r="J32" s="28">
        <v>654.5307600000001</v>
      </c>
      <c r="K32" s="28">
        <v>572.52768600000002</v>
      </c>
      <c r="L32" s="88">
        <f t="shared" si="3"/>
        <v>1174.0934000000002</v>
      </c>
      <c r="M32" s="88">
        <f t="shared" si="4"/>
        <v>1220.0988800000002</v>
      </c>
      <c r="N32" s="16">
        <f t="shared" si="5"/>
        <v>292.76830400000006</v>
      </c>
    </row>
    <row r="33" spans="1:14" x14ac:dyDescent="0.25">
      <c r="A33" s="6" t="s">
        <v>56</v>
      </c>
      <c r="B33" s="30" t="s">
        <v>44</v>
      </c>
      <c r="C33" s="13">
        <v>811.76409699999999</v>
      </c>
      <c r="D33" s="38" t="s">
        <v>72</v>
      </c>
      <c r="E33" s="39" t="s">
        <v>24</v>
      </c>
      <c r="F33" s="32">
        <v>810.75736900000004</v>
      </c>
      <c r="G33" s="31">
        <v>856.76284899999996</v>
      </c>
      <c r="H33" s="32">
        <v>792.74680499999999</v>
      </c>
      <c r="I33" s="33">
        <v>846.73404700000003</v>
      </c>
      <c r="J33" s="32">
        <v>878.74479300000007</v>
      </c>
      <c r="K33" s="32">
        <v>796.74171899999999</v>
      </c>
      <c r="L33" s="89">
        <f t="shared" si="3"/>
        <v>1622.5214660000001</v>
      </c>
      <c r="M33" s="89">
        <f t="shared" si="4"/>
        <v>1668.5269460000002</v>
      </c>
      <c r="N33" s="17">
        <f t="shared" si="5"/>
        <v>404.87532050000004</v>
      </c>
    </row>
    <row r="34" spans="1:14" ht="15.75" thickBot="1" x14ac:dyDescent="0.3">
      <c r="A34" s="7" t="s">
        <v>47</v>
      </c>
      <c r="B34" s="8" t="s">
        <v>45</v>
      </c>
      <c r="C34" s="19">
        <v>657.64356999999995</v>
      </c>
      <c r="D34" s="40" t="s">
        <v>89</v>
      </c>
      <c r="E34" s="41" t="s">
        <v>23</v>
      </c>
      <c r="F34" s="20">
        <v>656.636842</v>
      </c>
      <c r="G34" s="20">
        <v>702.64232200000004</v>
      </c>
      <c r="H34" s="20">
        <v>638.62627799999996</v>
      </c>
      <c r="I34" s="20">
        <v>692.61351999999999</v>
      </c>
      <c r="J34" s="20">
        <v>724.62426600000003</v>
      </c>
      <c r="K34" s="20">
        <v>642.62119199999995</v>
      </c>
      <c r="L34" s="90">
        <f t="shared" si="3"/>
        <v>1314.2804120000001</v>
      </c>
      <c r="M34" s="90">
        <f t="shared" si="4"/>
        <v>1360.2858920000001</v>
      </c>
      <c r="N34" s="21">
        <f t="shared" si="5"/>
        <v>327.81505700000002</v>
      </c>
    </row>
    <row r="35" spans="1:14" x14ac:dyDescent="0.25">
      <c r="F35" s="42">
        <v>-1.0067279999999501</v>
      </c>
      <c r="G35" s="10">
        <v>44.998752000000103</v>
      </c>
      <c r="H35" s="10">
        <v>-19.017291999999941</v>
      </c>
      <c r="I35" s="10">
        <v>34.969949999999997</v>
      </c>
      <c r="J35" s="10">
        <v>66.980696000000094</v>
      </c>
      <c r="K35" s="10">
        <v>-15.02237799999995</v>
      </c>
      <c r="N35" s="10"/>
    </row>
    <row r="37" spans="1:14" ht="23.25" x14ac:dyDescent="0.35">
      <c r="A37" s="24" t="s">
        <v>25</v>
      </c>
      <c r="F37" s="10"/>
    </row>
    <row r="38" spans="1:14" ht="23.25" x14ac:dyDescent="0.35">
      <c r="A38" s="25" t="s">
        <v>26</v>
      </c>
    </row>
    <row r="82" spans="1:14" ht="15.75" customHeight="1" x14ac:dyDescent="0.25"/>
    <row r="83" spans="1:14" hidden="1" x14ac:dyDescent="0.25"/>
    <row r="84" spans="1:14" ht="15.75" customHeight="1" x14ac:dyDescent="0.25"/>
    <row r="85" spans="1:14" x14ac:dyDescent="0.25">
      <c r="A85" s="107"/>
      <c r="B85" s="107"/>
      <c r="C85" s="107"/>
      <c r="D85" s="109"/>
      <c r="E85" s="107"/>
      <c r="F85" s="107"/>
      <c r="G85" s="108"/>
      <c r="H85" s="108"/>
      <c r="I85" s="108"/>
      <c r="J85" s="108"/>
      <c r="K85" s="108"/>
      <c r="L85" s="108"/>
      <c r="M85" s="108"/>
      <c r="N85" s="107"/>
    </row>
    <row r="86" spans="1:14" ht="30" customHeight="1" x14ac:dyDescent="0.25"/>
    <row r="168" ht="15.75" customHeight="1" x14ac:dyDescent="0.25"/>
    <row r="169" hidden="1" x14ac:dyDescent="0.25"/>
    <row r="171" ht="23.25" customHeight="1" x14ac:dyDescent="0.25"/>
    <row r="172" ht="23.25" customHeight="1" x14ac:dyDescent="0.25"/>
  </sheetData>
  <mergeCells count="6">
    <mergeCell ref="F85:N85"/>
    <mergeCell ref="A85:E85"/>
    <mergeCell ref="A1:E1"/>
    <mergeCell ref="F1:N1"/>
    <mergeCell ref="A19:E19"/>
    <mergeCell ref="F19:N19"/>
  </mergeCells>
  <pageMargins left="0.25" right="0.25" top="0.75" bottom="0.75" header="0.3" footer="0.3"/>
  <pageSetup scale="6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98F6E-CF9C-4DF1-A03F-57E7F2D0E0B8}">
  <dimension ref="A1:X35"/>
  <sheetViews>
    <sheetView workbookViewId="0">
      <selection activeCell="N28" sqref="N28"/>
    </sheetView>
  </sheetViews>
  <sheetFormatPr defaultRowHeight="15" x14ac:dyDescent="0.25"/>
  <cols>
    <col min="2" max="2" width="15.85546875" bestFit="1" customWidth="1"/>
    <col min="3" max="3" width="9.5703125" bestFit="1" customWidth="1"/>
    <col min="6" max="11" width="9.5703125" bestFit="1" customWidth="1"/>
    <col min="13" max="19" width="10.42578125" style="44" customWidth="1"/>
  </cols>
  <sheetData>
    <row r="1" spans="1:24" ht="15.75" thickBot="1" x14ac:dyDescent="0.3">
      <c r="A1" t="s">
        <v>63</v>
      </c>
    </row>
    <row r="2" spans="1:24" x14ac:dyDescent="0.25">
      <c r="A2" s="110" t="s">
        <v>27</v>
      </c>
      <c r="B2" s="111"/>
      <c r="C2" s="111"/>
      <c r="D2" s="111"/>
      <c r="E2" s="112"/>
      <c r="F2" s="113" t="s">
        <v>0</v>
      </c>
      <c r="G2" s="111"/>
      <c r="H2" s="111"/>
      <c r="I2" s="111"/>
      <c r="J2" s="111"/>
      <c r="K2" s="111"/>
      <c r="L2" s="114"/>
    </row>
    <row r="3" spans="1:24" ht="75" x14ac:dyDescent="0.25">
      <c r="A3" s="1" t="s">
        <v>1</v>
      </c>
      <c r="B3" s="2" t="s">
        <v>2</v>
      </c>
      <c r="C3" s="4" t="s">
        <v>3</v>
      </c>
      <c r="D3" s="35" t="s">
        <v>4</v>
      </c>
      <c r="E3" s="14" t="s">
        <v>5</v>
      </c>
      <c r="F3" s="3" t="s">
        <v>6</v>
      </c>
      <c r="G3" s="9" t="s">
        <v>7</v>
      </c>
      <c r="H3" s="9" t="s">
        <v>8</v>
      </c>
      <c r="I3" s="9" t="s">
        <v>9</v>
      </c>
      <c r="J3" s="9" t="s">
        <v>57</v>
      </c>
      <c r="K3" s="9" t="s">
        <v>10</v>
      </c>
      <c r="L3" s="15" t="s">
        <v>11</v>
      </c>
      <c r="M3" s="45" t="s">
        <v>64</v>
      </c>
    </row>
    <row r="4" spans="1:24" x14ac:dyDescent="0.25">
      <c r="A4" s="5" t="s">
        <v>29</v>
      </c>
      <c r="B4" s="26" t="s">
        <v>32</v>
      </c>
      <c r="C4" s="12">
        <v>528.39152899999999</v>
      </c>
      <c r="D4" s="36" t="s">
        <v>65</v>
      </c>
      <c r="E4" s="37" t="s">
        <v>6</v>
      </c>
      <c r="F4" s="27">
        <v>529.39935400000002</v>
      </c>
      <c r="G4" s="28">
        <v>546.42590300000006</v>
      </c>
      <c r="H4" s="29">
        <v>551.38129800000002</v>
      </c>
      <c r="I4" s="29">
        <v>511.38878999999997</v>
      </c>
      <c r="J4" s="29">
        <v>573.36324300000001</v>
      </c>
      <c r="K4" s="29">
        <v>567.35523599999999</v>
      </c>
      <c r="L4" s="16"/>
      <c r="M4" s="56">
        <v>184.07339999999999</v>
      </c>
      <c r="N4" s="46">
        <v>206.11009999999999</v>
      </c>
      <c r="O4" s="46">
        <v>258.11020000000002</v>
      </c>
      <c r="P4" s="52">
        <v>346.3331</v>
      </c>
      <c r="Q4" s="46">
        <v>452.31509999999997</v>
      </c>
      <c r="R4" s="60">
        <v>511.38909999999998</v>
      </c>
      <c r="S4" s="47"/>
    </row>
    <row r="5" spans="1:24" x14ac:dyDescent="0.25">
      <c r="A5" s="6" t="s">
        <v>30</v>
      </c>
      <c r="B5" s="30" t="s">
        <v>33</v>
      </c>
      <c r="C5" s="13">
        <v>486.34457800000001</v>
      </c>
      <c r="D5" s="38" t="s">
        <v>65</v>
      </c>
      <c r="E5" s="39" t="s">
        <v>6</v>
      </c>
      <c r="F5" s="31">
        <v>487.35240299999998</v>
      </c>
      <c r="G5" s="32">
        <v>504.37895200000008</v>
      </c>
      <c r="H5" s="33">
        <v>509.33434699999998</v>
      </c>
      <c r="I5" s="33">
        <v>469.34183899999999</v>
      </c>
      <c r="J5" s="33">
        <v>531.31629199999998</v>
      </c>
      <c r="K5" s="33">
        <v>525.30828499999996</v>
      </c>
      <c r="L5" s="17"/>
      <c r="M5" s="48">
        <v>155.0104</v>
      </c>
      <c r="N5" s="48">
        <v>216.06309999999999</v>
      </c>
      <c r="O5" s="48">
        <v>254.2859</v>
      </c>
      <c r="P5" s="50">
        <v>272.29649999999998</v>
      </c>
      <c r="Q5" s="49">
        <v>346.33330000000001</v>
      </c>
      <c r="R5" s="49">
        <v>426.29930000000002</v>
      </c>
      <c r="S5" s="49">
        <v>469.34199999999998</v>
      </c>
    </row>
    <row r="6" spans="1:24" x14ac:dyDescent="0.25">
      <c r="A6" s="5" t="s">
        <v>31</v>
      </c>
      <c r="B6" s="26" t="s">
        <v>34</v>
      </c>
      <c r="C6" s="12">
        <v>363.33604800000001</v>
      </c>
      <c r="D6" s="36" t="s">
        <v>61</v>
      </c>
      <c r="E6" s="37" t="s">
        <v>12</v>
      </c>
      <c r="F6" s="27">
        <v>364.34387299999997</v>
      </c>
      <c r="G6" s="29">
        <v>381.37042200000002</v>
      </c>
      <c r="H6" s="27">
        <v>386.32581699999997</v>
      </c>
      <c r="I6" s="29">
        <v>346.33330900000004</v>
      </c>
      <c r="J6" s="29">
        <v>408.30776200000003</v>
      </c>
      <c r="K6" s="29">
        <v>402.299755</v>
      </c>
      <c r="L6" s="16"/>
      <c r="M6" s="68"/>
      <c r="N6" s="68"/>
      <c r="O6" s="68"/>
      <c r="P6" s="68"/>
      <c r="Q6" s="68"/>
      <c r="R6" s="68"/>
      <c r="S6" s="68"/>
      <c r="T6" s="69"/>
      <c r="U6" s="69"/>
    </row>
    <row r="7" spans="1:24" x14ac:dyDescent="0.25">
      <c r="A7" s="5" t="s">
        <v>49</v>
      </c>
      <c r="B7" s="26" t="s">
        <v>35</v>
      </c>
      <c r="C7" s="12">
        <v>829.56921799999998</v>
      </c>
      <c r="D7" s="36" t="s">
        <v>66</v>
      </c>
      <c r="E7" s="37" t="s">
        <v>7</v>
      </c>
      <c r="F7" s="29">
        <v>830.577043</v>
      </c>
      <c r="G7" s="27">
        <v>847.60359200000005</v>
      </c>
      <c r="H7" s="29">
        <v>852.558987</v>
      </c>
      <c r="I7" s="28">
        <v>812.56647900000007</v>
      </c>
      <c r="J7" s="29">
        <v>874.540932</v>
      </c>
      <c r="K7" s="28">
        <v>868.53292499999998</v>
      </c>
      <c r="L7" s="16"/>
      <c r="M7" s="68"/>
      <c r="N7" s="70">
        <v>272.2962</v>
      </c>
      <c r="O7" s="71">
        <v>299.25799999999998</v>
      </c>
      <c r="P7" s="72">
        <v>346.33300000000003</v>
      </c>
      <c r="Q7" s="73">
        <v>549.48749999999995</v>
      </c>
      <c r="R7" s="74"/>
      <c r="S7" s="75">
        <v>570.54690000000005</v>
      </c>
      <c r="T7" s="68">
        <v>687.10789999999997</v>
      </c>
      <c r="U7" s="69"/>
    </row>
    <row r="8" spans="1:24" x14ac:dyDescent="0.25">
      <c r="A8" s="6" t="s">
        <v>50</v>
      </c>
      <c r="B8" s="30" t="s">
        <v>37</v>
      </c>
      <c r="C8" s="13">
        <v>741.55317400000001</v>
      </c>
      <c r="D8" s="38" t="s">
        <v>67</v>
      </c>
      <c r="E8" s="39" t="s">
        <v>13</v>
      </c>
      <c r="F8" s="33">
        <v>742.56099900000004</v>
      </c>
      <c r="G8" s="31">
        <v>759.58754799999997</v>
      </c>
      <c r="H8" s="33">
        <v>764.54294300000004</v>
      </c>
      <c r="I8" s="33">
        <v>724.55043500000011</v>
      </c>
      <c r="J8" s="33">
        <v>786.52488800000003</v>
      </c>
      <c r="K8" s="32">
        <v>780.51688100000001</v>
      </c>
      <c r="L8" s="17"/>
      <c r="M8" s="47">
        <v>206.31890000000001</v>
      </c>
      <c r="N8" s="50">
        <v>272.29629999999997</v>
      </c>
      <c r="O8" s="53">
        <v>299.25779999999997</v>
      </c>
      <c r="P8" s="51">
        <v>346.33339999999998</v>
      </c>
      <c r="Q8" s="59">
        <v>482.32510000000002</v>
      </c>
      <c r="S8" s="54">
        <v>570.54729999999995</v>
      </c>
      <c r="T8" s="47">
        <v>619.28700000000003</v>
      </c>
      <c r="U8" s="47">
        <v>706.63480000000004</v>
      </c>
    </row>
    <row r="9" spans="1:24" x14ac:dyDescent="0.25">
      <c r="A9" s="5" t="s">
        <v>51</v>
      </c>
      <c r="B9" s="26" t="s">
        <v>38</v>
      </c>
      <c r="C9" s="12">
        <v>754.54842299999996</v>
      </c>
      <c r="D9" s="36" t="s">
        <v>59</v>
      </c>
      <c r="E9" s="37" t="s">
        <v>6</v>
      </c>
      <c r="F9" s="27">
        <v>755.55624799999998</v>
      </c>
      <c r="G9" s="28">
        <v>772.58279700000003</v>
      </c>
      <c r="H9" s="29">
        <v>777.53819199999998</v>
      </c>
      <c r="I9" s="28">
        <v>737.54568400000005</v>
      </c>
      <c r="J9" s="28">
        <v>799.52013699999998</v>
      </c>
      <c r="K9" s="28">
        <v>793.51212999999996</v>
      </c>
      <c r="L9" s="16"/>
      <c r="M9" s="68"/>
      <c r="N9" s="68"/>
      <c r="O9" s="68"/>
      <c r="P9" s="68"/>
      <c r="Q9" s="68"/>
      <c r="R9" s="74"/>
      <c r="S9" s="68"/>
      <c r="T9" s="68"/>
      <c r="U9" s="69"/>
    </row>
    <row r="10" spans="1:24" x14ac:dyDescent="0.25">
      <c r="A10" s="6" t="s">
        <v>46</v>
      </c>
      <c r="B10" s="30" t="s">
        <v>36</v>
      </c>
      <c r="C10" s="13">
        <v>393.39822500000002</v>
      </c>
      <c r="D10" s="38" t="s">
        <v>62</v>
      </c>
      <c r="E10" s="39" t="s">
        <v>14</v>
      </c>
      <c r="F10" s="33">
        <v>394.40605000000005</v>
      </c>
      <c r="G10" s="33">
        <v>411.4325990000001</v>
      </c>
      <c r="H10" s="33">
        <v>416.38799399999999</v>
      </c>
      <c r="I10" s="31">
        <v>376.39548600000001</v>
      </c>
      <c r="J10" s="32">
        <v>438.36993900000004</v>
      </c>
      <c r="K10" s="32">
        <v>432.36193200000002</v>
      </c>
      <c r="L10" s="17"/>
      <c r="M10" s="47"/>
      <c r="N10" s="47"/>
      <c r="O10" s="47"/>
      <c r="P10" s="47"/>
      <c r="Q10" s="47"/>
      <c r="S10" s="47"/>
      <c r="T10" s="47"/>
    </row>
    <row r="11" spans="1:24" x14ac:dyDescent="0.25">
      <c r="A11" s="5" t="s">
        <v>52</v>
      </c>
      <c r="B11" s="26" t="s">
        <v>39</v>
      </c>
      <c r="C11" s="12">
        <v>667.51639499999999</v>
      </c>
      <c r="D11" s="36" t="s">
        <v>68</v>
      </c>
      <c r="E11" s="37" t="s">
        <v>7</v>
      </c>
      <c r="F11" s="29">
        <v>668.52422000000001</v>
      </c>
      <c r="G11" s="27">
        <v>685.55076900000006</v>
      </c>
      <c r="H11" s="29">
        <v>690.50616400000001</v>
      </c>
      <c r="I11" s="28">
        <v>650.51365600000008</v>
      </c>
      <c r="J11" s="28">
        <v>712.48810900000001</v>
      </c>
      <c r="K11" s="28">
        <v>706.48010199999999</v>
      </c>
      <c r="L11" s="16"/>
      <c r="M11" s="68"/>
      <c r="N11" s="68"/>
      <c r="O11" s="68"/>
      <c r="P11" s="76">
        <v>303.23849999999999</v>
      </c>
      <c r="Q11" s="74"/>
      <c r="R11" s="77">
        <v>454.19369999999998</v>
      </c>
      <c r="S11" s="68">
        <v>605.81290000000001</v>
      </c>
      <c r="T11" s="78">
        <v>695.13610000000006</v>
      </c>
      <c r="U11" s="69"/>
    </row>
    <row r="12" spans="1:24" x14ac:dyDescent="0.25">
      <c r="A12" s="6" t="s">
        <v>48</v>
      </c>
      <c r="B12" s="30" t="s">
        <v>40</v>
      </c>
      <c r="C12" s="13">
        <v>737.63916700000004</v>
      </c>
      <c r="D12" s="38" t="s">
        <v>69</v>
      </c>
      <c r="E12" s="39" t="s">
        <v>15</v>
      </c>
      <c r="F12" s="31">
        <v>738.64699199999995</v>
      </c>
      <c r="G12" s="32">
        <v>755.67354100000011</v>
      </c>
      <c r="H12" s="33">
        <v>760.62893599999995</v>
      </c>
      <c r="I12" s="31">
        <v>720.63642800000002</v>
      </c>
      <c r="J12" s="32">
        <v>782.61088100000006</v>
      </c>
      <c r="K12" s="32">
        <v>776.60287400000004</v>
      </c>
      <c r="L12" s="17"/>
      <c r="M12" s="55">
        <v>184.0735</v>
      </c>
      <c r="N12" s="47">
        <v>243.44479999999999</v>
      </c>
      <c r="O12" s="47"/>
      <c r="P12" s="57">
        <v>303.22289999999998</v>
      </c>
      <c r="R12" s="58">
        <v>454.4117</v>
      </c>
      <c r="S12" s="61">
        <v>549.48770000000002</v>
      </c>
      <c r="T12" s="47">
        <v>684.69939999999997</v>
      </c>
      <c r="U12" s="47">
        <v>720.63679999999999</v>
      </c>
      <c r="X12" s="47"/>
    </row>
    <row r="13" spans="1:24" x14ac:dyDescent="0.25">
      <c r="A13" s="5" t="s">
        <v>53</v>
      </c>
      <c r="B13" s="26" t="s">
        <v>41</v>
      </c>
      <c r="C13" s="12">
        <v>752.60554400000001</v>
      </c>
      <c r="D13" s="36" t="s">
        <v>70</v>
      </c>
      <c r="E13" s="37" t="s">
        <v>6</v>
      </c>
      <c r="F13" s="27">
        <v>753.61336900000003</v>
      </c>
      <c r="G13" s="28">
        <v>770.63991800000008</v>
      </c>
      <c r="H13" s="29">
        <v>775.59531300000003</v>
      </c>
      <c r="I13" s="28">
        <v>735.6028050000001</v>
      </c>
      <c r="J13" s="28">
        <v>797.57725800000003</v>
      </c>
      <c r="K13" s="28">
        <v>791.56925100000001</v>
      </c>
      <c r="L13" s="16"/>
      <c r="M13" s="79">
        <v>184.07339999999999</v>
      </c>
      <c r="N13" s="68"/>
      <c r="O13" s="68"/>
      <c r="P13" s="76">
        <v>303.22359999999998</v>
      </c>
      <c r="Q13" s="80">
        <v>482.32440000000003</v>
      </c>
      <c r="R13" s="81">
        <v>511.38889999999998</v>
      </c>
      <c r="S13" s="75">
        <v>570.5453</v>
      </c>
      <c r="T13" s="82">
        <v>695.16010000000006</v>
      </c>
      <c r="U13" s="69"/>
    </row>
    <row r="14" spans="1:24" x14ac:dyDescent="0.25">
      <c r="A14" s="6" t="s">
        <v>54</v>
      </c>
      <c r="B14" s="30" t="s">
        <v>42</v>
      </c>
      <c r="C14" s="13">
        <v>710.55859399999997</v>
      </c>
      <c r="D14" s="38" t="s">
        <v>60</v>
      </c>
      <c r="E14" s="39" t="s">
        <v>6</v>
      </c>
      <c r="F14" s="31">
        <v>711.566419</v>
      </c>
      <c r="G14" s="32">
        <v>728.59296800000004</v>
      </c>
      <c r="H14" s="33">
        <v>733.54836299999999</v>
      </c>
      <c r="I14" s="32">
        <v>693.55585500000007</v>
      </c>
      <c r="J14" s="33">
        <v>755.53030799999999</v>
      </c>
      <c r="K14" s="33">
        <v>749.52230099999997</v>
      </c>
      <c r="L14" s="17"/>
      <c r="M14" s="47">
        <v>140.00319999999999</v>
      </c>
      <c r="N14" s="47">
        <v>165.2996</v>
      </c>
      <c r="O14" s="47">
        <v>179.26859999999999</v>
      </c>
      <c r="P14" s="47"/>
      <c r="Q14" s="47">
        <v>444.8571</v>
      </c>
      <c r="R14" s="47">
        <v>538.32079999999996</v>
      </c>
      <c r="S14" s="54">
        <v>570.54740000000004</v>
      </c>
      <c r="T14" s="47">
        <v>635.18629999999996</v>
      </c>
      <c r="U14" s="62">
        <v>695.14239999999995</v>
      </c>
    </row>
    <row r="15" spans="1:24" x14ac:dyDescent="0.25">
      <c r="A15" s="5" t="s">
        <v>55</v>
      </c>
      <c r="B15" s="26" t="s">
        <v>43</v>
      </c>
      <c r="C15" s="12">
        <v>587.55006400000002</v>
      </c>
      <c r="D15" s="36" t="s">
        <v>71</v>
      </c>
      <c r="E15" s="37" t="s">
        <v>7</v>
      </c>
      <c r="F15" s="29">
        <v>588.55788900000005</v>
      </c>
      <c r="G15" s="27">
        <v>605.58443799999998</v>
      </c>
      <c r="H15" s="29">
        <v>610.53983300000004</v>
      </c>
      <c r="I15" s="29">
        <v>570.547325</v>
      </c>
      <c r="J15" s="28">
        <v>632.52177800000004</v>
      </c>
      <c r="K15" s="29">
        <v>626.51377100000002</v>
      </c>
      <c r="L15" s="16"/>
      <c r="M15" s="68"/>
      <c r="N15" s="68"/>
      <c r="O15" s="68">
        <v>318.82900000000001</v>
      </c>
      <c r="P15" s="68">
        <v>451.923</v>
      </c>
      <c r="Q15" s="68">
        <v>545.12660000000005</v>
      </c>
      <c r="R15" s="68"/>
      <c r="S15" s="68">
        <v>578.10490000000004</v>
      </c>
      <c r="T15" s="69"/>
      <c r="U15" s="69"/>
    </row>
    <row r="16" spans="1:24" x14ac:dyDescent="0.25">
      <c r="A16" s="6" t="s">
        <v>56</v>
      </c>
      <c r="B16" s="30" t="s">
        <v>44</v>
      </c>
      <c r="C16" s="13">
        <v>811.76409699999999</v>
      </c>
      <c r="D16" s="38" t="s">
        <v>72</v>
      </c>
      <c r="E16" s="39" t="s">
        <v>7</v>
      </c>
      <c r="F16" s="32">
        <v>812.77192200000002</v>
      </c>
      <c r="G16" s="31">
        <v>829.79847099999995</v>
      </c>
      <c r="H16" s="33">
        <v>834.75386600000002</v>
      </c>
      <c r="I16" s="32">
        <v>794.76135800000009</v>
      </c>
      <c r="J16" s="32">
        <v>856.73581100000001</v>
      </c>
      <c r="K16" s="33">
        <v>850.72780399999999</v>
      </c>
      <c r="L16" s="17"/>
      <c r="M16" s="47">
        <v>225.221</v>
      </c>
      <c r="N16" s="50">
        <v>272.29599999999999</v>
      </c>
      <c r="O16" s="53">
        <v>299.25779999999997</v>
      </c>
      <c r="P16" s="51">
        <v>346.33260000000001</v>
      </c>
      <c r="Q16" s="47"/>
      <c r="R16" s="47">
        <v>523.47170000000006</v>
      </c>
      <c r="S16" s="54">
        <v>570.54679999999996</v>
      </c>
      <c r="U16">
        <v>812.77059999999994</v>
      </c>
    </row>
    <row r="17" spans="1:24" ht="15.75" thickBot="1" x14ac:dyDescent="0.3">
      <c r="A17" s="7" t="s">
        <v>47</v>
      </c>
      <c r="B17" s="8" t="s">
        <v>45</v>
      </c>
      <c r="C17" s="19">
        <v>657.64356999999995</v>
      </c>
      <c r="D17" s="40" t="s">
        <v>73</v>
      </c>
      <c r="E17" s="41" t="s">
        <v>7</v>
      </c>
      <c r="F17" s="22">
        <v>658.65139499999998</v>
      </c>
      <c r="G17" s="23">
        <v>675.67794400000002</v>
      </c>
      <c r="H17" s="22">
        <v>680.63333899999998</v>
      </c>
      <c r="I17" s="20">
        <v>640.64083100000005</v>
      </c>
      <c r="J17" s="20">
        <v>702.61528399999997</v>
      </c>
      <c r="K17" s="20">
        <v>696.60727699999995</v>
      </c>
      <c r="L17" s="43"/>
      <c r="M17" s="68"/>
      <c r="N17" s="68"/>
      <c r="O17" s="68"/>
      <c r="P17" s="83">
        <v>303.22320000000002</v>
      </c>
      <c r="Q17" s="68">
        <v>369.35219999999998</v>
      </c>
      <c r="R17" s="68"/>
      <c r="S17" s="68"/>
      <c r="T17" s="69"/>
      <c r="U17" s="69"/>
    </row>
    <row r="19" spans="1:24" ht="15.75" thickBot="1" x14ac:dyDescent="0.3"/>
    <row r="20" spans="1:24" x14ac:dyDescent="0.25">
      <c r="A20" s="115" t="s">
        <v>28</v>
      </c>
      <c r="B20" s="116"/>
      <c r="C20" s="116"/>
      <c r="D20" s="116"/>
      <c r="E20" s="117"/>
      <c r="F20" s="118" t="s">
        <v>0</v>
      </c>
      <c r="G20" s="116"/>
      <c r="H20" s="116"/>
      <c r="I20" s="116"/>
      <c r="J20" s="116"/>
      <c r="K20" s="116"/>
      <c r="L20" s="119"/>
    </row>
    <row r="21" spans="1:24" ht="75" x14ac:dyDescent="0.25">
      <c r="A21" s="1" t="s">
        <v>1</v>
      </c>
      <c r="B21" s="2" t="s">
        <v>2</v>
      </c>
      <c r="C21" s="4" t="s">
        <v>3</v>
      </c>
      <c r="D21" s="35" t="s">
        <v>4</v>
      </c>
      <c r="E21" s="14" t="s">
        <v>5</v>
      </c>
      <c r="F21" s="3" t="s">
        <v>16</v>
      </c>
      <c r="G21" s="9" t="s">
        <v>17</v>
      </c>
      <c r="H21" s="9" t="s">
        <v>18</v>
      </c>
      <c r="I21" s="9" t="s">
        <v>19</v>
      </c>
      <c r="J21" s="9" t="s">
        <v>58</v>
      </c>
      <c r="K21" s="9" t="s">
        <v>20</v>
      </c>
      <c r="L21" s="15" t="s">
        <v>11</v>
      </c>
    </row>
    <row r="22" spans="1:24" x14ac:dyDescent="0.25">
      <c r="A22" s="5" t="s">
        <v>29</v>
      </c>
      <c r="B22" s="26" t="s">
        <v>32</v>
      </c>
      <c r="C22" s="12">
        <v>528.39152899999999</v>
      </c>
      <c r="D22" s="36" t="s">
        <v>65</v>
      </c>
      <c r="E22" s="37" t="s">
        <v>21</v>
      </c>
      <c r="F22" s="28">
        <v>527.38480100000004</v>
      </c>
      <c r="G22" s="27">
        <v>573.39028100000007</v>
      </c>
      <c r="H22" s="28">
        <v>509.37423700000005</v>
      </c>
      <c r="I22" s="28">
        <v>563.36147900000003</v>
      </c>
      <c r="J22" s="28">
        <v>595.37222500000007</v>
      </c>
      <c r="K22" s="29">
        <v>513.36915099999999</v>
      </c>
      <c r="L22" s="16"/>
      <c r="M22" s="74"/>
      <c r="N22" s="74"/>
      <c r="O22" s="74">
        <v>206.30930000000001</v>
      </c>
      <c r="P22" s="74">
        <v>303.21969999999999</v>
      </c>
      <c r="Q22" s="74"/>
      <c r="R22" s="74"/>
      <c r="S22" s="74"/>
      <c r="T22" s="74">
        <v>595.27589999999998</v>
      </c>
      <c r="U22" s="69"/>
      <c r="V22" s="69"/>
      <c r="W22" s="69"/>
      <c r="X22" s="69"/>
    </row>
    <row r="23" spans="1:24" x14ac:dyDescent="0.25">
      <c r="A23" s="6" t="s">
        <v>30</v>
      </c>
      <c r="B23" s="30" t="s">
        <v>33</v>
      </c>
      <c r="C23" s="13">
        <v>486.34457800000001</v>
      </c>
      <c r="D23" s="38" t="s">
        <v>65</v>
      </c>
      <c r="E23" s="39" t="s">
        <v>16</v>
      </c>
      <c r="F23" s="31">
        <v>485.33785</v>
      </c>
      <c r="G23" s="32">
        <v>531.34333000000015</v>
      </c>
      <c r="H23" s="32">
        <v>467.32728600000007</v>
      </c>
      <c r="I23" s="32">
        <v>521.31452800000011</v>
      </c>
      <c r="J23" s="32">
        <v>553.32527400000004</v>
      </c>
      <c r="K23" s="32">
        <v>471.32220000000007</v>
      </c>
      <c r="L23" s="17"/>
      <c r="N23" s="44">
        <v>196.0378</v>
      </c>
      <c r="O23" s="44">
        <v>214.04839999999999</v>
      </c>
      <c r="P23" s="64">
        <v>288.29239999999999</v>
      </c>
      <c r="S23" s="44">
        <v>418.23059999999998</v>
      </c>
    </row>
    <row r="24" spans="1:24" x14ac:dyDescent="0.25">
      <c r="A24" s="5" t="s">
        <v>31</v>
      </c>
      <c r="B24" s="26" t="s">
        <v>34</v>
      </c>
      <c r="C24" s="12">
        <v>363.33604800000001</v>
      </c>
      <c r="D24" s="36" t="s">
        <v>61</v>
      </c>
      <c r="E24" s="37" t="s">
        <v>21</v>
      </c>
      <c r="F24" s="29">
        <v>362.32932000000005</v>
      </c>
      <c r="G24" s="27">
        <v>408.33480000000009</v>
      </c>
      <c r="H24" s="28">
        <v>344.31875600000006</v>
      </c>
      <c r="I24" s="29">
        <v>398.30599800000005</v>
      </c>
      <c r="J24" s="28">
        <v>430.31674400000009</v>
      </c>
      <c r="K24" s="28">
        <v>348.31367000000006</v>
      </c>
      <c r="L24" s="16"/>
      <c r="M24" s="74"/>
      <c r="N24" s="74"/>
      <c r="O24" s="74"/>
      <c r="P24" s="74"/>
      <c r="Q24" s="74"/>
      <c r="R24" s="74"/>
      <c r="S24" s="74"/>
      <c r="T24" s="69"/>
      <c r="U24" s="69"/>
      <c r="V24" s="69"/>
      <c r="W24" s="69"/>
      <c r="X24" s="69"/>
    </row>
    <row r="25" spans="1:24" x14ac:dyDescent="0.25">
      <c r="A25" s="5" t="s">
        <v>49</v>
      </c>
      <c r="B25" s="26" t="s">
        <v>35</v>
      </c>
      <c r="C25" s="12">
        <v>829.56921799999998</v>
      </c>
      <c r="D25" s="36" t="s">
        <v>66</v>
      </c>
      <c r="E25" s="37" t="s">
        <v>16</v>
      </c>
      <c r="F25" s="27">
        <v>828.56249000000003</v>
      </c>
      <c r="G25" s="28">
        <v>874.56797000000006</v>
      </c>
      <c r="H25" s="28">
        <v>810.55192600000009</v>
      </c>
      <c r="I25" s="28">
        <v>864.53916800000002</v>
      </c>
      <c r="J25" s="29">
        <v>896.54991400000006</v>
      </c>
      <c r="K25" s="28">
        <v>814.54683999999997</v>
      </c>
      <c r="L25" s="16"/>
      <c r="M25" s="74"/>
      <c r="N25" s="74"/>
      <c r="O25" s="74">
        <v>214.01130000000001</v>
      </c>
      <c r="P25" s="84">
        <v>288.29230000000001</v>
      </c>
      <c r="Q25" s="74"/>
      <c r="R25" s="85">
        <v>377.20979999999997</v>
      </c>
      <c r="S25" s="74">
        <v>539.26599999999996</v>
      </c>
      <c r="T25" s="69"/>
      <c r="U25" s="69"/>
      <c r="V25" s="69"/>
      <c r="W25" s="69"/>
      <c r="X25" s="69"/>
    </row>
    <row r="26" spans="1:24" x14ac:dyDescent="0.25">
      <c r="A26" s="6" t="s">
        <v>50</v>
      </c>
      <c r="B26" s="30" t="s">
        <v>37</v>
      </c>
      <c r="C26" s="13">
        <v>741.55317400000001</v>
      </c>
      <c r="D26" s="38" t="s">
        <v>67</v>
      </c>
      <c r="E26" s="39" t="s">
        <v>16</v>
      </c>
      <c r="F26" s="31">
        <v>740.54644600000006</v>
      </c>
      <c r="G26" s="32">
        <v>786.55192600000009</v>
      </c>
      <c r="H26" s="32">
        <v>722.53588200000013</v>
      </c>
      <c r="I26" s="32">
        <v>776.52312400000005</v>
      </c>
      <c r="J26" s="33">
        <v>808.53387000000009</v>
      </c>
      <c r="K26" s="32">
        <v>726.53079600000001</v>
      </c>
      <c r="L26" s="17"/>
      <c r="O26" s="63">
        <v>241.21700000000001</v>
      </c>
      <c r="P26" s="64">
        <v>288.2826</v>
      </c>
      <c r="R26" s="65">
        <v>377.20960000000002</v>
      </c>
      <c r="S26" s="44">
        <v>461.6628</v>
      </c>
      <c r="T26" s="44">
        <v>520.08150000000001</v>
      </c>
      <c r="U26" s="44">
        <v>587.07050000000004</v>
      </c>
    </row>
    <row r="27" spans="1:24" ht="45" x14ac:dyDescent="0.25">
      <c r="A27" s="5" t="s">
        <v>51</v>
      </c>
      <c r="B27" s="26" t="s">
        <v>38</v>
      </c>
      <c r="C27" s="12">
        <v>754.54842299999996</v>
      </c>
      <c r="D27" s="36" t="s">
        <v>59</v>
      </c>
      <c r="E27" s="37" t="s">
        <v>16</v>
      </c>
      <c r="F27" s="27">
        <v>753.541695</v>
      </c>
      <c r="G27" s="28">
        <v>799.54717500000004</v>
      </c>
      <c r="H27" s="28">
        <v>735.53113099999996</v>
      </c>
      <c r="I27" s="28">
        <v>789.518373</v>
      </c>
      <c r="J27" s="28">
        <v>821.52911900000004</v>
      </c>
      <c r="K27" s="28">
        <v>739.52604499999995</v>
      </c>
      <c r="L27" s="18" t="s">
        <v>22</v>
      </c>
      <c r="M27" s="74"/>
      <c r="N27" s="74">
        <v>152.9958</v>
      </c>
      <c r="O27" s="86">
        <v>241.21700000000001</v>
      </c>
      <c r="P27" s="84">
        <v>288.29219999999998</v>
      </c>
      <c r="Q27" s="74"/>
      <c r="R27" s="85">
        <v>377.20949999999999</v>
      </c>
      <c r="S27" s="74">
        <v>395.51990000000001</v>
      </c>
      <c r="T27" s="74">
        <v>424.28469999999999</v>
      </c>
      <c r="U27" s="74">
        <v>666.50940000000003</v>
      </c>
      <c r="V27" s="69"/>
      <c r="W27" s="69"/>
      <c r="X27" s="69"/>
    </row>
    <row r="28" spans="1:24" x14ac:dyDescent="0.25">
      <c r="A28" s="6" t="s">
        <v>46</v>
      </c>
      <c r="B28" s="30" t="s">
        <v>36</v>
      </c>
      <c r="C28" s="13">
        <v>393.39822500000002</v>
      </c>
      <c r="D28" s="38" t="s">
        <v>62</v>
      </c>
      <c r="E28" s="39" t="s">
        <v>23</v>
      </c>
      <c r="F28" s="32">
        <v>392.39149700000007</v>
      </c>
      <c r="G28" s="31">
        <v>438.39697700000011</v>
      </c>
      <c r="H28" s="32">
        <v>374.38093300000008</v>
      </c>
      <c r="I28" s="32">
        <v>428.36817500000006</v>
      </c>
      <c r="J28" s="32">
        <v>460.3789210000001</v>
      </c>
      <c r="K28" s="32">
        <v>378.37584700000008</v>
      </c>
      <c r="L28" s="17"/>
      <c r="O28" s="63"/>
      <c r="R28" s="65"/>
    </row>
    <row r="29" spans="1:24" x14ac:dyDescent="0.25">
      <c r="A29" s="5" t="s">
        <v>52</v>
      </c>
      <c r="B29" s="26" t="s">
        <v>39</v>
      </c>
      <c r="C29" s="12">
        <v>667.51639499999999</v>
      </c>
      <c r="D29" s="36" t="s">
        <v>68</v>
      </c>
      <c r="E29" s="37" t="s">
        <v>16</v>
      </c>
      <c r="F29" s="27">
        <v>666.50966700000004</v>
      </c>
      <c r="G29" s="28">
        <v>712.51514700000007</v>
      </c>
      <c r="H29" s="28">
        <v>648.4991030000001</v>
      </c>
      <c r="I29" s="28">
        <v>702.48634500000003</v>
      </c>
      <c r="J29" s="29">
        <v>734.49709100000007</v>
      </c>
      <c r="K29" s="28">
        <v>652.49401699999999</v>
      </c>
      <c r="L29" s="16"/>
      <c r="M29" s="74"/>
      <c r="N29" s="74"/>
      <c r="O29" s="86">
        <v>241.21709999999999</v>
      </c>
      <c r="P29" s="74"/>
      <c r="Q29" s="74"/>
      <c r="R29" s="85">
        <v>377.20940000000002</v>
      </c>
      <c r="S29" s="74"/>
      <c r="T29" s="69"/>
      <c r="U29" s="69">
        <v>632.63940000000002</v>
      </c>
      <c r="V29" s="69"/>
      <c r="W29" s="69"/>
      <c r="X29" s="69"/>
    </row>
    <row r="30" spans="1:24" x14ac:dyDescent="0.25">
      <c r="A30" s="6" t="s">
        <v>48</v>
      </c>
      <c r="B30" s="30" t="s">
        <v>40</v>
      </c>
      <c r="C30" s="13">
        <v>737.63916700000004</v>
      </c>
      <c r="D30" s="38" t="s">
        <v>69</v>
      </c>
      <c r="E30" s="39" t="s">
        <v>21</v>
      </c>
      <c r="F30" s="33">
        <v>736.63243899999998</v>
      </c>
      <c r="G30" s="31">
        <v>782.63791900000001</v>
      </c>
      <c r="H30" s="32">
        <v>718.62187500000005</v>
      </c>
      <c r="I30" s="33">
        <v>772.60911699999997</v>
      </c>
      <c r="J30" s="32">
        <v>804.61986300000012</v>
      </c>
      <c r="K30" s="32">
        <v>722.61678900000004</v>
      </c>
      <c r="L30" s="17"/>
      <c r="N30" s="44">
        <v>168.04249999999999</v>
      </c>
      <c r="O30" s="63"/>
      <c r="P30" s="44">
        <v>281.24810000000002</v>
      </c>
      <c r="R30" s="44">
        <v>371.62549999999999</v>
      </c>
      <c r="S30" s="44">
        <v>417.78910000000002</v>
      </c>
      <c r="T30" s="44">
        <v>478.90769999999998</v>
      </c>
      <c r="U30">
        <v>566.87440000000004</v>
      </c>
      <c r="V30" s="44">
        <v>668.51379999999995</v>
      </c>
      <c r="W30" s="66">
        <v>695.09119999999996</v>
      </c>
      <c r="X30" s="44">
        <v>722.61659999999995</v>
      </c>
    </row>
    <row r="31" spans="1:24" x14ac:dyDescent="0.25">
      <c r="A31" s="5" t="s">
        <v>53</v>
      </c>
      <c r="B31" s="26" t="s">
        <v>41</v>
      </c>
      <c r="C31" s="12">
        <v>752.60554400000001</v>
      </c>
      <c r="D31" s="36" t="s">
        <v>70</v>
      </c>
      <c r="E31" s="37" t="s">
        <v>21</v>
      </c>
      <c r="F31" s="28">
        <v>751.59881600000006</v>
      </c>
      <c r="G31" s="27">
        <v>797.60429599999998</v>
      </c>
      <c r="H31" s="28">
        <v>733.58825200000001</v>
      </c>
      <c r="I31" s="28">
        <v>787.57549400000005</v>
      </c>
      <c r="J31" s="28">
        <v>819.58624000000009</v>
      </c>
      <c r="K31" s="28">
        <v>737.58316600000001</v>
      </c>
      <c r="L31" s="16"/>
      <c r="M31" s="74"/>
      <c r="N31" s="74"/>
      <c r="O31" s="86">
        <v>241.21709999999999</v>
      </c>
      <c r="P31" s="84">
        <v>288.29230000000001</v>
      </c>
      <c r="Q31" s="74"/>
      <c r="R31" s="74"/>
      <c r="S31" s="74">
        <v>448.2826</v>
      </c>
      <c r="T31" s="74">
        <v>466.29329999999999</v>
      </c>
      <c r="U31" s="74">
        <v>513.36879999999996</v>
      </c>
      <c r="V31" s="69"/>
      <c r="W31" s="87"/>
      <c r="X31" s="69">
        <v>737.68290000000002</v>
      </c>
    </row>
    <row r="32" spans="1:24" x14ac:dyDescent="0.25">
      <c r="A32" s="6" t="s">
        <v>54</v>
      </c>
      <c r="B32" s="30" t="s">
        <v>42</v>
      </c>
      <c r="C32" s="13">
        <v>710.55859399999997</v>
      </c>
      <c r="D32" s="38" t="s">
        <v>60</v>
      </c>
      <c r="E32" s="39" t="s">
        <v>16</v>
      </c>
      <c r="F32" s="31">
        <v>709.55186600000002</v>
      </c>
      <c r="G32" s="32">
        <v>755.55734600000005</v>
      </c>
      <c r="H32" s="32">
        <v>691.54130200000009</v>
      </c>
      <c r="I32" s="32">
        <v>745.52854400000001</v>
      </c>
      <c r="J32" s="33">
        <v>777.53929000000005</v>
      </c>
      <c r="K32" s="32">
        <v>695.53621599999997</v>
      </c>
      <c r="L32" s="17"/>
      <c r="M32" s="44">
        <v>146.86070000000001</v>
      </c>
      <c r="N32" s="44">
        <v>176.3741</v>
      </c>
      <c r="O32" s="63">
        <v>241.21729999999999</v>
      </c>
      <c r="P32" s="64">
        <v>288.29230000000001</v>
      </c>
      <c r="Q32" s="44">
        <v>314.99099999999999</v>
      </c>
      <c r="W32" s="67">
        <v>695.09059999999999</v>
      </c>
    </row>
    <row r="33" spans="1:24" x14ac:dyDescent="0.25">
      <c r="A33" s="5" t="s">
        <v>55</v>
      </c>
      <c r="B33" s="26" t="s">
        <v>43</v>
      </c>
      <c r="C33" s="12">
        <v>587.55006400000002</v>
      </c>
      <c r="D33" s="36" t="s">
        <v>71</v>
      </c>
      <c r="E33" s="37" t="s">
        <v>21</v>
      </c>
      <c r="F33" s="28">
        <v>586.54333600000007</v>
      </c>
      <c r="G33" s="27">
        <v>632.5488160000001</v>
      </c>
      <c r="H33" s="28">
        <v>568.53277200000002</v>
      </c>
      <c r="I33" s="29">
        <v>622.52001400000006</v>
      </c>
      <c r="J33" s="28">
        <v>654.5307600000001</v>
      </c>
      <c r="K33" s="28">
        <v>572.52768600000002</v>
      </c>
      <c r="L33" s="16"/>
      <c r="M33" s="74"/>
      <c r="N33" s="74"/>
      <c r="O33" s="74"/>
      <c r="P33" s="74"/>
      <c r="Q33" s="74">
        <v>303.20519999999999</v>
      </c>
      <c r="R33" s="74"/>
      <c r="S33" s="74"/>
      <c r="T33" s="69"/>
      <c r="U33" s="69"/>
      <c r="V33" s="69"/>
      <c r="W33" s="69"/>
      <c r="X33" s="69"/>
    </row>
    <row r="34" spans="1:24" x14ac:dyDescent="0.25">
      <c r="A34" s="6" t="s">
        <v>56</v>
      </c>
      <c r="B34" s="30" t="s">
        <v>44</v>
      </c>
      <c r="C34" s="13">
        <v>811.76409699999999</v>
      </c>
      <c r="D34" s="38" t="s">
        <v>72</v>
      </c>
      <c r="E34" s="39" t="s">
        <v>24</v>
      </c>
      <c r="F34" s="32">
        <v>810.75736900000004</v>
      </c>
      <c r="G34" s="31">
        <v>856.76284900000007</v>
      </c>
      <c r="H34" s="32">
        <v>792.74680499999999</v>
      </c>
      <c r="I34" s="33">
        <v>846.73404700000003</v>
      </c>
      <c r="J34" s="32">
        <v>878.74479300000007</v>
      </c>
      <c r="K34" s="32">
        <v>796.74171899999999</v>
      </c>
      <c r="L34" s="17"/>
    </row>
    <row r="35" spans="1:24" ht="15.75" thickBot="1" x14ac:dyDescent="0.3">
      <c r="A35" s="7" t="s">
        <v>47</v>
      </c>
      <c r="B35" s="8" t="s">
        <v>45</v>
      </c>
      <c r="C35" s="19">
        <v>657.64356999999995</v>
      </c>
      <c r="D35" s="40" t="s">
        <v>73</v>
      </c>
      <c r="E35" s="41" t="s">
        <v>23</v>
      </c>
      <c r="F35" s="20">
        <v>656.636842</v>
      </c>
      <c r="G35" s="20">
        <v>702.64232200000004</v>
      </c>
      <c r="H35" s="20">
        <v>638.62627799999996</v>
      </c>
      <c r="I35" s="20">
        <v>692.61351999999999</v>
      </c>
      <c r="J35" s="20">
        <v>724.62426600000003</v>
      </c>
      <c r="K35" s="20">
        <v>642.62119199999995</v>
      </c>
      <c r="L35" s="21"/>
      <c r="M35" s="74"/>
      <c r="N35" s="74"/>
      <c r="O35" s="74"/>
      <c r="P35" s="74"/>
      <c r="Q35" s="74"/>
      <c r="R35" s="74"/>
      <c r="S35" s="74"/>
      <c r="T35" s="69"/>
      <c r="U35" s="69"/>
      <c r="V35" s="69"/>
      <c r="W35" s="69"/>
      <c r="X35" s="69"/>
    </row>
  </sheetData>
  <mergeCells count="4">
    <mergeCell ref="A2:E2"/>
    <mergeCell ref="F2:L2"/>
    <mergeCell ref="A20:E20"/>
    <mergeCell ref="F20:L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mz for main ion</vt:lpstr>
      <vt:lpstr>All ions</vt:lpstr>
      <vt:lpstr>MSMS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Zardini Buzatto</dc:creator>
  <cp:lastModifiedBy>Adriana Zardini Buzatto</cp:lastModifiedBy>
  <cp:lastPrinted>2022-02-15T17:13:12Z</cp:lastPrinted>
  <dcterms:created xsi:type="dcterms:W3CDTF">2022-02-11T19:05:21Z</dcterms:created>
  <dcterms:modified xsi:type="dcterms:W3CDTF">2026-03-21T20:03:50Z</dcterms:modified>
</cp:coreProperties>
</file>